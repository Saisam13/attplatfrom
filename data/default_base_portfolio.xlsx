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ategory Overview" sheetId="1" state="visible" r:id="rId1"/>
    <sheet xmlns:r="http://schemas.openxmlformats.org/officeDocument/2006/relationships" name="Catalog" sheetId="2" state="visible" r:id="rId2"/>
    <sheet xmlns:r="http://schemas.openxmlformats.org/officeDocument/2006/relationships" name="Hsn Analysis" sheetId="3" state="visible" r:id="rId3"/>
    <sheet xmlns:r="http://schemas.openxmlformats.org/officeDocument/2006/relationships" name="Reverse Analysis (BPC)" sheetId="4" state="visible" r:id="rId4"/>
    <sheet xmlns:r="http://schemas.openxmlformats.org/officeDocument/2006/relationships" name="Reverse Analysis (Agri)" sheetId="5" state="visible" r:id="rId5"/>
  </sheets>
  <definedNames>
    <definedName name="_xlnm._FilterDatabase" localSheetId="4" hidden="1">'Reverse Analysis (Agri)'!$A$3:$M$3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b val="1"/>
      <color rgb="FF1B4F72"/>
      <sz val="14"/>
    </font>
    <font>
      <name val="Calibri"/>
      <b val="1"/>
      <color rgb="FFFFFFFF"/>
      <sz val="11"/>
    </font>
    <font>
      <name val="Calibri"/>
      <color theme="1"/>
      <sz val="10"/>
    </font>
    <font>
      <name val="Calibri"/>
      <color theme="1"/>
      <scheme val="minor"/>
    </font>
    <font>
      <name val="Calibri"/>
      <b val="1"/>
      <color rgb="FF6C3483"/>
      <sz val="14"/>
    </font>
    <font>
      <name val="Calibri"/>
      <color theme="1"/>
    </font>
    <font>
      <name val="Calibri"/>
      <b val="1"/>
      <color rgb="FF117A65"/>
      <sz val="14"/>
    </font>
    <font>
      <name val="Calibri"/>
      <b val="1"/>
      <color rgb="FFB9770E"/>
      <sz val="14"/>
    </font>
    <font>
      <name val="Calibri"/>
      <b val="1"/>
      <color rgb="002C3E50"/>
      <sz val="13"/>
    </font>
    <font>
      <name val="Calibri"/>
      <b val="1"/>
      <color rgb="00FFFFFF"/>
      <sz val="11"/>
    </font>
    <font>
      <name val="Calibri"/>
      <b val="1"/>
      <color rgb="006C3483"/>
      <sz val="10"/>
    </font>
    <font>
      <name val="Calibri"/>
      <sz val="10"/>
    </font>
    <font>
      <name val="Calibri"/>
      <b val="1"/>
      <color rgb="001B4F72"/>
      <sz val="10"/>
    </font>
    <font>
      <name val="Calibri"/>
      <b val="1"/>
      <color rgb="001E8449"/>
      <sz val="14"/>
    </font>
    <font>
      <name val="Calibri"/>
      <i val="1"/>
      <sz val="9"/>
    </font>
  </fonts>
  <fills count="10">
    <fill>
      <patternFill/>
    </fill>
    <fill>
      <patternFill patternType="lightGray"/>
    </fill>
    <fill>
      <patternFill patternType="solid">
        <fgColor rgb="FF1B4F72"/>
        <bgColor rgb="FF1B4F72"/>
      </patternFill>
    </fill>
    <fill>
      <patternFill patternType="solid">
        <fgColor rgb="FF6C3483"/>
        <bgColor rgb="FF6C3483"/>
      </patternFill>
    </fill>
    <fill>
      <patternFill patternType="solid">
        <fgColor rgb="FF117A65"/>
        <bgColor rgb="FF117A65"/>
      </patternFill>
    </fill>
    <fill>
      <patternFill patternType="solid">
        <fgColor rgb="FFD5F5E3"/>
        <bgColor rgb="FFD5F5E3"/>
      </patternFill>
    </fill>
    <fill>
      <patternFill patternType="solid">
        <fgColor rgb="FFB9770E"/>
        <bgColor rgb="FFB9770E"/>
      </patternFill>
    </fill>
    <fill>
      <patternFill patternType="solid">
        <fgColor rgb="002C3E50"/>
        <bgColor rgb="002C3E50"/>
      </patternFill>
    </fill>
    <fill>
      <patternFill patternType="solid">
        <fgColor rgb="00B9770E"/>
        <bgColor rgb="00B9770E"/>
      </patternFill>
    </fill>
    <fill>
      <patternFill patternType="solid">
        <fgColor rgb="001E8449"/>
        <bgColor rgb="001E844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8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0" pivotButton="0" quotePrefix="0" xfId="0"/>
    <xf numFmtId="0" fontId="10" fillId="7" borderId="2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2" applyAlignment="1" pivotButton="0" quotePrefix="0" xfId="0">
      <alignment vertical="top" wrapText="1"/>
    </xf>
    <xf numFmtId="0" fontId="13" fillId="0" borderId="0" pivotButton="0" quotePrefix="0" xfId="0"/>
    <xf numFmtId="0" fontId="10" fillId="8" borderId="2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0" fillId="9" borderId="2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5" customWidth="1" style="19" min="1" max="1"/>
    <col width="50" customWidth="1" style="19" min="2" max="2"/>
    <col width="18" customWidth="1" style="19" min="3" max="3"/>
    <col width="12" customWidth="1" style="19" min="4" max="4"/>
    <col width="30" customWidth="1" style="19" min="5" max="5"/>
    <col width="12" customWidth="1" style="19" min="6" max="6"/>
    <col width="40" customWidth="1" style="19" min="7" max="8"/>
    <col width="15" customWidth="1" style="19" min="9" max="9"/>
    <col width="30" customWidth="1" style="19" min="10" max="10"/>
    <col width="8.710000000000001" customWidth="1" style="19" min="11" max="26"/>
  </cols>
  <sheetData>
    <row r="1">
      <c r="A1" s="1" t="inlineStr">
        <is>
          <t>BEAUTY &amp; PERSONAL CARE (BPC) — 120 Chemicals from Scimplify</t>
        </is>
      </c>
    </row>
    <row r="2">
      <c r="A2" s="2" t="inlineStr">
        <is>
          <t>#</t>
        </is>
      </c>
      <c r="B2" s="2" t="inlineStr">
        <is>
          <t>Chemical Name</t>
        </is>
      </c>
      <c r="C2" s="2" t="inlineStr">
        <is>
          <t>CAS Number</t>
        </is>
      </c>
      <c r="D2" s="2" t="inlineStr">
        <is>
          <t>HSN Code</t>
        </is>
      </c>
      <c r="E2" s="2" t="inlineStr">
        <is>
          <t>Type of Chemistry</t>
        </is>
      </c>
      <c r="F2" s="2" t="inlineStr">
        <is>
          <t>Confidence</t>
        </is>
      </c>
      <c r="G2" s="2" t="inlineStr">
        <is>
          <t>Primary Application</t>
        </is>
      </c>
      <c r="H2" s="2" t="inlineStr">
        <is>
          <t>Secondary Application</t>
        </is>
      </c>
      <c r="I2" s="2" t="inlineStr">
        <is>
          <t>Classification</t>
        </is>
      </c>
      <c r="J2" s="2" t="inlineStr">
        <is>
          <t>Sub-Classification</t>
        </is>
      </c>
    </row>
    <row r="3">
      <c r="A3" s="3" t="n">
        <v>1</v>
      </c>
      <c r="B3" s="3" t="inlineStr">
        <is>
          <t>Polyethylene Glycol Distearate</t>
        </is>
      </c>
      <c r="C3" s="3" t="inlineStr">
        <is>
          <t>9005-08-7</t>
        </is>
      </c>
      <c r="D3" s="3" t="inlineStr">
        <is>
          <t>340290</t>
        </is>
      </c>
      <c r="E3" s="3" t="inlineStr">
        <is>
          <t>Emulsifier / Thickener</t>
        </is>
      </c>
      <c r="F3" s="3" t="inlineStr">
        <is>
          <t>High</t>
        </is>
      </c>
      <c r="G3" s="3" t="inlineStr">
        <is>
          <t>Shampoos, body wash - pearlizing agent</t>
        </is>
      </c>
      <c r="H3" s="3" t="inlineStr">
        <is>
          <t>Conditioners, creams</t>
        </is>
      </c>
      <c r="I3" s="3" t="inlineStr">
        <is>
          <t>Bulk</t>
        </is>
      </c>
      <c r="J3" s="3" t="inlineStr">
        <is>
          <t>Surfactant / Rheology Modifier</t>
        </is>
      </c>
    </row>
    <row r="4">
      <c r="A4" s="3" t="n">
        <v>2</v>
      </c>
      <c r="B4" s="3" t="inlineStr">
        <is>
          <t>2-Ethylresorcinol</t>
        </is>
      </c>
      <c r="C4" s="3" t="inlineStr">
        <is>
          <t>31154-44-6</t>
        </is>
      </c>
      <c r="D4" s="3" t="inlineStr">
        <is>
          <t>330499</t>
        </is>
      </c>
      <c r="E4" s="3" t="inlineStr">
        <is>
          <t>Skin Lightening Agent</t>
        </is>
      </c>
      <c r="F4" s="3" t="inlineStr">
        <is>
          <t>High</t>
        </is>
      </c>
      <c r="G4" s="3" t="inlineStr">
        <is>
          <t>Depigmentation serums &amp; creams</t>
        </is>
      </c>
      <c r="H4" s="3" t="inlineStr">
        <is>
          <t>Anti-aging formulations</t>
        </is>
      </c>
      <c r="I4" s="3" t="inlineStr">
        <is>
          <t>Active</t>
        </is>
      </c>
      <c r="J4" s="3" t="inlineStr">
        <is>
          <t>Tyrosinase Inhibitor</t>
        </is>
      </c>
      <c r="N4" s="5" t="inlineStr">
        <is>
          <t>Unique Hsn Codes per Cat</t>
        </is>
      </c>
    </row>
    <row r="5">
      <c r="A5" s="3" t="n">
        <v>3</v>
      </c>
      <c r="B5" s="3" t="inlineStr">
        <is>
          <t>Guar gum, 2-hydroxy-3-(trimethylammonio)propyl ether, chloride</t>
        </is>
      </c>
      <c r="C5" s="3" t="inlineStr">
        <is>
          <t>65497-29-2</t>
        </is>
      </c>
      <c r="D5" s="3" t="inlineStr">
        <is>
          <t>330499</t>
        </is>
      </c>
      <c r="E5" s="3" t="inlineStr">
        <is>
          <t>Conditioning Polymer</t>
        </is>
      </c>
      <c r="F5" s="3" t="inlineStr">
        <is>
          <t>High</t>
        </is>
      </c>
      <c r="G5" s="3" t="inlineStr">
        <is>
          <t>Shampoos &amp; conditioners - anti-static</t>
        </is>
      </c>
      <c r="H5" s="3" t="inlineStr">
        <is>
          <t>Skin care lotions</t>
        </is>
      </c>
      <c r="I5" s="3" t="inlineStr">
        <is>
          <t>Bulk</t>
        </is>
      </c>
      <c r="J5" s="3" t="inlineStr">
        <is>
          <t>Cationic Polymer</t>
        </is>
      </c>
      <c r="N5" s="5" t="inlineStr">
        <is>
          <t>Metallurgical Chemicals</t>
        </is>
      </c>
      <c r="O5" s="5" t="inlineStr">
        <is>
          <t>BPC</t>
        </is>
      </c>
    </row>
    <row r="6">
      <c r="A6" s="3" t="n">
        <v>4</v>
      </c>
      <c r="B6" s="3" t="inlineStr">
        <is>
          <t>Ecamsule (Mexoryl SX)</t>
        </is>
      </c>
      <c r="C6" s="3" t="inlineStr">
        <is>
          <t>92761-26-7</t>
        </is>
      </c>
      <c r="D6" s="3" t="inlineStr">
        <is>
          <t>330499</t>
        </is>
      </c>
      <c r="E6" s="3" t="inlineStr">
        <is>
          <t>UV Filter</t>
        </is>
      </c>
      <c r="F6" s="3" t="inlineStr">
        <is>
          <t>High</t>
        </is>
      </c>
      <c r="G6" s="3" t="inlineStr">
        <is>
          <t>Sunscreens (UVA protection)</t>
        </is>
      </c>
      <c r="H6" s="3" t="inlineStr">
        <is>
          <t>Anti-aging day creams</t>
        </is>
      </c>
      <c r="I6" s="3" t="inlineStr">
        <is>
          <t>Active</t>
        </is>
      </c>
      <c r="J6" s="3" t="inlineStr">
        <is>
          <t>Organic UV Filter</t>
        </is>
      </c>
      <c r="N6" s="5" t="inlineStr">
        <is>
          <t>810890</t>
        </is>
      </c>
      <c r="O6" s="5" t="inlineStr">
        <is>
          <t>340290</t>
        </is>
      </c>
    </row>
    <row r="7">
      <c r="A7" s="3" t="n">
        <v>5</v>
      </c>
      <c r="B7" s="3" t="inlineStr">
        <is>
          <t>2,4-Diaminophenoxyethanol Dihydrochloride</t>
        </is>
      </c>
      <c r="C7" s="3" t="inlineStr">
        <is>
          <t>66422-95-5</t>
        </is>
      </c>
      <c r="D7" s="3" t="inlineStr">
        <is>
          <t>330499</t>
        </is>
      </c>
      <c r="E7" s="3" t="inlineStr">
        <is>
          <t>Hair Dye Intermediate</t>
        </is>
      </c>
      <c r="F7" s="3" t="inlineStr">
        <is>
          <t>High</t>
        </is>
      </c>
      <c r="G7" s="3" t="inlineStr">
        <is>
          <t>Oxidative hair dyes</t>
        </is>
      </c>
      <c r="H7" s="3" t="inlineStr">
        <is>
          <t>Semi-permanent hair color</t>
        </is>
      </c>
      <c r="I7" s="3" t="inlineStr">
        <is>
          <t>Active</t>
        </is>
      </c>
      <c r="J7" s="3" t="inlineStr">
        <is>
          <t>Hair Colorant Coupler</t>
        </is>
      </c>
      <c r="N7" s="5" t="inlineStr">
        <is>
          <t>282540</t>
        </is>
      </c>
      <c r="O7" s="5" t="inlineStr">
        <is>
          <t>330499</t>
        </is>
      </c>
    </row>
    <row r="8">
      <c r="A8" s="3" t="n">
        <v>6</v>
      </c>
      <c r="B8" s="3" t="inlineStr">
        <is>
          <t>Coco Amido Propyl Amine Oxide (CAPAO)</t>
        </is>
      </c>
      <c r="C8" s="3" t="inlineStr">
        <is>
          <t>68155-09-9</t>
        </is>
      </c>
      <c r="D8" s="3" t="inlineStr">
        <is>
          <t>340290</t>
        </is>
      </c>
      <c r="E8" s="3" t="inlineStr">
        <is>
          <t>Surfactant</t>
        </is>
      </c>
      <c r="F8" s="3" t="inlineStr">
        <is>
          <t>High</t>
        </is>
      </c>
      <c r="G8" s="3" t="inlineStr">
        <is>
          <t>Shampoos, liquid soaps</t>
        </is>
      </c>
      <c r="H8" s="3" t="inlineStr">
        <is>
          <t>Dishwashing liquids</t>
        </is>
      </c>
      <c r="I8" s="3" t="inlineStr">
        <is>
          <t>Bulk</t>
        </is>
      </c>
      <c r="J8" s="3" t="inlineStr">
        <is>
          <t>Amphoteric Surfactant</t>
        </is>
      </c>
      <c r="N8" s="5" t="inlineStr">
        <is>
          <t>283699</t>
        </is>
      </c>
    </row>
    <row r="9">
      <c r="A9" s="3" t="n">
        <v>7</v>
      </c>
      <c r="B9" s="3" t="inlineStr">
        <is>
          <t>bisabolol</t>
        </is>
      </c>
      <c r="C9" s="3" t="inlineStr">
        <is>
          <t>23089-26-1</t>
        </is>
      </c>
      <c r="D9" s="3" t="inlineStr">
        <is>
          <t>330499</t>
        </is>
      </c>
      <c r="E9" s="3" t="inlineStr">
        <is>
          <t>Anti-inflammatory Active</t>
        </is>
      </c>
      <c r="F9" s="3" t="inlineStr">
        <is>
          <t>High</t>
        </is>
      </c>
      <c r="G9" s="3" t="inlineStr">
        <is>
          <t>Sensitive skin care, after-sun</t>
        </is>
      </c>
      <c r="H9" s="3" t="inlineStr">
        <is>
          <t>Baby care products</t>
        </is>
      </c>
      <c r="I9" s="3" t="inlineStr">
        <is>
          <t>Active</t>
        </is>
      </c>
      <c r="J9" s="3" t="inlineStr">
        <is>
          <t>Soothing / Anti-irritant</t>
        </is>
      </c>
      <c r="N9" s="5" t="inlineStr">
        <is>
          <t>284610</t>
        </is>
      </c>
      <c r="O9" s="5" t="inlineStr">
        <is>
          <t>330129</t>
        </is>
      </c>
    </row>
    <row r="10">
      <c r="A10" s="3" t="n">
        <v>8</v>
      </c>
      <c r="B10" s="3" t="inlineStr">
        <is>
          <t>Geranium</t>
        </is>
      </c>
      <c r="C10" s="3" t="n"/>
      <c r="D10" s="3" t="n"/>
      <c r="E10" s="3" t="inlineStr">
        <is>
          <t>Essential Oil / Botanical</t>
        </is>
      </c>
      <c r="F10" s="3" t="inlineStr">
        <is>
          <t>High</t>
        </is>
      </c>
      <c r="G10" s="3" t="inlineStr">
        <is>
          <t>Aromatherapy, perfumes</t>
        </is>
      </c>
      <c r="H10" s="3" t="inlineStr">
        <is>
          <t>Skin balancing formulations</t>
        </is>
      </c>
      <c r="I10" s="3" t="inlineStr">
        <is>
          <t>Active</t>
        </is>
      </c>
      <c r="J10" s="3" t="inlineStr">
        <is>
          <t>Essential Oil</t>
        </is>
      </c>
      <c r="N10" s="5" t="inlineStr">
        <is>
          <t>282760</t>
        </is>
      </c>
      <c r="O10" s="5" t="inlineStr">
        <is>
          <t>330290</t>
        </is>
      </c>
    </row>
    <row r="11">
      <c r="A11" s="3" t="n">
        <v>9</v>
      </c>
      <c r="B11" s="3" t="inlineStr">
        <is>
          <t>Lotus</t>
        </is>
      </c>
      <c r="C11" s="3" t="n"/>
      <c r="D11" s="3" t="n"/>
      <c r="E11" s="3" t="inlineStr">
        <is>
          <t>Botanical Extract</t>
        </is>
      </c>
      <c r="F11" s="3" t="inlineStr">
        <is>
          <t>Medium</t>
        </is>
      </c>
      <c r="G11" s="3" t="inlineStr">
        <is>
          <t>Skin brightening creams</t>
        </is>
      </c>
      <c r="H11" s="3" t="inlineStr">
        <is>
          <t>Anti-aging formulations</t>
        </is>
      </c>
      <c r="I11" s="3" t="inlineStr">
        <is>
          <t>Active</t>
        </is>
      </c>
      <c r="J11" s="3" t="inlineStr">
        <is>
          <t>Plant Extract</t>
        </is>
      </c>
      <c r="N11" s="5" t="inlineStr">
        <is>
          <t>811010</t>
        </is>
      </c>
    </row>
    <row r="12">
      <c r="A12" s="3" t="n">
        <v>10</v>
      </c>
      <c r="B12" s="3" t="inlineStr">
        <is>
          <t>4-Aminobenzoic Acid</t>
        </is>
      </c>
      <c r="C12" s="3" t="inlineStr">
        <is>
          <t>150-13-0</t>
        </is>
      </c>
      <c r="D12" s="3" t="inlineStr">
        <is>
          <t>330499</t>
        </is>
      </c>
      <c r="E12" s="3" t="inlineStr">
        <is>
          <t>UV Filter (Legacy)</t>
        </is>
      </c>
      <c r="F12" s="3" t="inlineStr">
        <is>
          <t>High</t>
        </is>
      </c>
      <c r="G12" s="3" t="inlineStr">
        <is>
          <t>Sunscreens (older formulations)</t>
        </is>
      </c>
      <c r="H12" s="3" t="inlineStr">
        <is>
          <t>Pharmaceutical intermediates</t>
        </is>
      </c>
      <c r="I12" s="3" t="inlineStr">
        <is>
          <t>Active</t>
        </is>
      </c>
      <c r="J12" s="3" t="inlineStr">
        <is>
          <t>PABA UV Filter</t>
        </is>
      </c>
      <c r="N12" s="5" t="inlineStr">
        <is>
          <t>284329</t>
        </is>
      </c>
    </row>
    <row r="13">
      <c r="A13" s="3" t="n">
        <v>11</v>
      </c>
      <c r="B13" s="3" t="inlineStr">
        <is>
          <t>Sulisobenzone</t>
        </is>
      </c>
      <c r="C13" s="3" t="inlineStr">
        <is>
          <t>4065-45-6</t>
        </is>
      </c>
      <c r="D13" s="3" t="inlineStr">
        <is>
          <t>330499</t>
        </is>
      </c>
      <c r="E13" s="3" t="inlineStr">
        <is>
          <t>UV Filter</t>
        </is>
      </c>
      <c r="F13" s="3" t="inlineStr">
        <is>
          <t>High</t>
        </is>
      </c>
      <c r="G13" s="3" t="inlineStr">
        <is>
          <t>Sunscreens (UVA/UVB)</t>
        </is>
      </c>
      <c r="H13" s="3" t="inlineStr">
        <is>
          <t>Lip balms with SPF</t>
        </is>
      </c>
      <c r="I13" s="3" t="inlineStr">
        <is>
          <t>Active</t>
        </is>
      </c>
      <c r="J13" s="3" t="inlineStr">
        <is>
          <t>Organic UV Filter</t>
        </is>
      </c>
      <c r="N13" s="5" t="inlineStr">
        <is>
          <t>282560</t>
        </is>
      </c>
    </row>
    <row r="14">
      <c r="A14" s="3" t="n">
        <v>12</v>
      </c>
      <c r="B14" s="3" t="inlineStr">
        <is>
          <t>Aminexil</t>
        </is>
      </c>
      <c r="C14" s="3" t="inlineStr">
        <is>
          <t>74638-76-9</t>
        </is>
      </c>
      <c r="D14" s="3" t="n"/>
      <c r="E14" s="3" t="inlineStr">
        <is>
          <t>Hair Care Active</t>
        </is>
      </c>
      <c r="F14" s="3" t="inlineStr">
        <is>
          <t>High</t>
        </is>
      </c>
      <c r="G14" s="3" t="inlineStr">
        <is>
          <t>Anti-hair loss treatments</t>
        </is>
      </c>
      <c r="H14" s="3" t="inlineStr">
        <is>
          <t>Scalp serums</t>
        </is>
      </c>
      <c r="I14" s="3" t="inlineStr">
        <is>
          <t>Active</t>
        </is>
      </c>
      <c r="J14" s="3" t="inlineStr">
        <is>
          <t>Hair Growth Stimulant</t>
        </is>
      </c>
      <c r="N14" s="5" t="inlineStr">
        <is>
          <t>283329</t>
        </is>
      </c>
    </row>
    <row r="15">
      <c r="A15" s="3" t="n">
        <v>13</v>
      </c>
      <c r="B15" s="3" t="inlineStr">
        <is>
          <t>Spearmint Oil</t>
        </is>
      </c>
      <c r="C15" s="3" t="inlineStr">
        <is>
          <t>8008-79-5</t>
        </is>
      </c>
      <c r="D15" s="3" t="inlineStr">
        <is>
          <t>330129</t>
        </is>
      </c>
      <c r="E15" s="3" t="inlineStr">
        <is>
          <t>Essential Oil</t>
        </is>
      </c>
      <c r="F15" s="3" t="inlineStr">
        <is>
          <t>High</t>
        </is>
      </c>
      <c r="G15" s="3" t="inlineStr">
        <is>
          <t>Oral care (toothpaste, mouthwash)</t>
        </is>
      </c>
      <c r="H15" s="3" t="inlineStr">
        <is>
          <t>Aromatherapy, flavoring</t>
        </is>
      </c>
      <c r="I15" s="3" t="inlineStr">
        <is>
          <t>Bulk</t>
        </is>
      </c>
      <c r="J15" s="3" t="inlineStr">
        <is>
          <t>Essential Oil</t>
        </is>
      </c>
      <c r="N15" s="5" t="inlineStr">
        <is>
          <t>291711</t>
        </is>
      </c>
    </row>
    <row r="16">
      <c r="A16" s="3" t="n">
        <v>14</v>
      </c>
      <c r="B16" s="3" t="inlineStr">
        <is>
          <t>Hydantoin</t>
        </is>
      </c>
      <c r="C16" s="3" t="inlineStr">
        <is>
          <t>461-72-3</t>
        </is>
      </c>
      <c r="D16" s="3" t="inlineStr">
        <is>
          <t>330499</t>
        </is>
      </c>
      <c r="E16" s="3" t="inlineStr">
        <is>
          <t>Preservative Intermediate</t>
        </is>
      </c>
      <c r="F16" s="3" t="inlineStr">
        <is>
          <t>High</t>
        </is>
      </c>
      <c r="G16" s="3" t="inlineStr">
        <is>
          <t>Antimicrobial systems</t>
        </is>
      </c>
      <c r="H16" s="3" t="inlineStr">
        <is>
          <t>Polymer chemistry</t>
        </is>
      </c>
      <c r="I16" s="3" t="inlineStr">
        <is>
          <t>Bulk</t>
        </is>
      </c>
      <c r="J16" s="3" t="inlineStr">
        <is>
          <t>Heterocyclic Compound</t>
        </is>
      </c>
      <c r="N16" s="5" t="inlineStr">
        <is>
          <t>290549</t>
        </is>
      </c>
    </row>
    <row r="17">
      <c r="A17" s="3" t="n">
        <v>15</v>
      </c>
      <c r="B17" s="3" t="inlineStr">
        <is>
          <t>Diethyl Phthalate (DEP)</t>
        </is>
      </c>
      <c r="C17" s="3" t="inlineStr">
        <is>
          <t>84-66-2</t>
        </is>
      </c>
      <c r="D17" s="3" t="inlineStr">
        <is>
          <t>330290</t>
        </is>
      </c>
      <c r="E17" s="3" t="inlineStr">
        <is>
          <t>Solvent / Plasticizer</t>
        </is>
      </c>
      <c r="F17" s="3" t="inlineStr">
        <is>
          <t>High</t>
        </is>
      </c>
      <c r="G17" s="3" t="inlineStr">
        <is>
          <t>Fragrance fixative in perfumes</t>
        </is>
      </c>
      <c r="H17" s="3" t="inlineStr">
        <is>
          <t>Nail polish, hair sprays</t>
        </is>
      </c>
      <c r="I17" s="3" t="inlineStr">
        <is>
          <t>Bulk</t>
        </is>
      </c>
      <c r="J17" s="3" t="inlineStr">
        <is>
          <t>Plasticizer / Solvent</t>
        </is>
      </c>
      <c r="N17" s="5" t="inlineStr">
        <is>
          <t>291815</t>
        </is>
      </c>
    </row>
    <row r="18">
      <c r="A18" s="3" t="n">
        <v>16</v>
      </c>
      <c r="B18" s="3" t="inlineStr">
        <is>
          <t>1,2-Decanediol</t>
        </is>
      </c>
      <c r="C18" s="3" t="inlineStr">
        <is>
          <t>1119-86-4</t>
        </is>
      </c>
      <c r="D18" s="3" t="inlineStr">
        <is>
          <t>330499</t>
        </is>
      </c>
      <c r="E18" s="3" t="inlineStr">
        <is>
          <t>Preservative Booster / Emollient</t>
        </is>
      </c>
      <c r="F18" s="3" t="inlineStr">
        <is>
          <t>High</t>
        </is>
      </c>
      <c r="G18" s="3" t="inlineStr">
        <is>
          <t>Moisturizers, serums</t>
        </is>
      </c>
      <c r="H18" s="3" t="inlineStr">
        <is>
          <t>Preservative systems</t>
        </is>
      </c>
      <c r="I18" s="3" t="inlineStr">
        <is>
          <t>Active</t>
        </is>
      </c>
      <c r="J18" s="3" t="inlineStr">
        <is>
          <t>Diol Antimicrobial</t>
        </is>
      </c>
      <c r="N18" s="5" t="inlineStr">
        <is>
          <t>282010</t>
        </is>
      </c>
    </row>
    <row r="19">
      <c r="A19" s="3" t="n">
        <v>17</v>
      </c>
      <c r="B19" s="3" t="inlineStr">
        <is>
          <t>Silver fluoride</t>
        </is>
      </c>
      <c r="C19" s="3" t="inlineStr">
        <is>
          <t>7783-95-1</t>
        </is>
      </c>
      <c r="D19" s="3" t="inlineStr">
        <is>
          <t>330499</t>
        </is>
      </c>
      <c r="E19" s="3" t="inlineStr">
        <is>
          <t>Oral Care Active</t>
        </is>
      </c>
      <c r="F19" s="3" t="inlineStr">
        <is>
          <t>High</t>
        </is>
      </c>
      <c r="G19" s="3" t="inlineStr">
        <is>
          <t>Dental caries treatment</t>
        </is>
      </c>
      <c r="H19" s="3" t="inlineStr">
        <is>
          <t>Antimicrobial dental products</t>
        </is>
      </c>
      <c r="I19" s="3" t="inlineStr">
        <is>
          <t>Active</t>
        </is>
      </c>
      <c r="J19" s="3" t="inlineStr">
        <is>
          <t>Inorganic Antimicrobial</t>
        </is>
      </c>
      <c r="N19" s="5" t="inlineStr">
        <is>
          <t>292119</t>
        </is>
      </c>
    </row>
    <row r="20">
      <c r="A20" s="3" t="n">
        <v>18</v>
      </c>
      <c r="B20" s="3" t="inlineStr">
        <is>
          <t>Propyl paraben sodium</t>
        </is>
      </c>
      <c r="C20" s="3" t="inlineStr">
        <is>
          <t>35285-69-9</t>
        </is>
      </c>
      <c r="D20" s="3" t="inlineStr">
        <is>
          <t>330499</t>
        </is>
      </c>
      <c r="E20" s="3" t="inlineStr">
        <is>
          <t>Preservative</t>
        </is>
      </c>
      <c r="F20" s="3" t="inlineStr">
        <is>
          <t>High</t>
        </is>
      </c>
      <c r="G20" s="3" t="inlineStr">
        <is>
          <t>Cosmetics, personal care</t>
        </is>
      </c>
      <c r="H20" s="3" t="inlineStr">
        <is>
          <t>Pharmaceutical formulations</t>
        </is>
      </c>
      <c r="I20" s="3" t="inlineStr">
        <is>
          <t>Bulk</t>
        </is>
      </c>
      <c r="J20" s="3" t="inlineStr">
        <is>
          <t>Paraben Preservative</t>
        </is>
      </c>
      <c r="N20" s="5" t="inlineStr">
        <is>
          <t>293090</t>
        </is>
      </c>
    </row>
    <row r="21" ht="15.75" customHeight="1" s="19">
      <c r="A21" s="3" t="n">
        <v>19</v>
      </c>
      <c r="B21" s="3" t="inlineStr">
        <is>
          <t>S(+)/L(+) Mandelic Acid</t>
        </is>
      </c>
      <c r="C21" s="3" t="inlineStr">
        <is>
          <t>17199-29-0</t>
        </is>
      </c>
      <c r="D21" s="3" t="inlineStr">
        <is>
          <t>330499</t>
        </is>
      </c>
      <c r="E21" s="3" t="inlineStr">
        <is>
          <t>Alpha Hydroxy Acid (AHA)</t>
        </is>
      </c>
      <c r="F21" s="3" t="inlineStr">
        <is>
          <t>High</t>
        </is>
      </c>
      <c r="G21" s="3" t="inlineStr">
        <is>
          <t>Chemical peels, exfoliating serums</t>
        </is>
      </c>
      <c r="H21" s="3" t="inlineStr">
        <is>
          <t>Anti-acne treatments</t>
        </is>
      </c>
      <c r="I21" s="3" t="inlineStr">
        <is>
          <t>Active</t>
        </is>
      </c>
      <c r="J21" s="3" t="inlineStr">
        <is>
          <t>Exfoliant / Keratolytic</t>
        </is>
      </c>
      <c r="N21" s="5" t="inlineStr">
        <is>
          <t>293190</t>
        </is>
      </c>
    </row>
    <row r="22" ht="15.75" customHeight="1" s="19">
      <c r="A22" s="3" t="n">
        <v>20</v>
      </c>
      <c r="B22" s="3" t="inlineStr">
        <is>
          <t>DL-Mandelic Acid</t>
        </is>
      </c>
      <c r="C22" s="3" t="inlineStr">
        <is>
          <t>90-64-2</t>
        </is>
      </c>
      <c r="D22" s="3" t="inlineStr">
        <is>
          <t>330499</t>
        </is>
      </c>
      <c r="E22" s="3" t="inlineStr">
        <is>
          <t>Alpha Hydroxy Acid (AHA)</t>
        </is>
      </c>
      <c r="F22" s="3" t="inlineStr">
        <is>
          <t>High</t>
        </is>
      </c>
      <c r="G22" s="3" t="inlineStr">
        <is>
          <t>Chemical peels, brightening serums</t>
        </is>
      </c>
      <c r="H22" s="3" t="inlineStr">
        <is>
          <t>Anti-pigmentation treatments</t>
        </is>
      </c>
      <c r="I22" s="3" t="inlineStr">
        <is>
          <t>Active</t>
        </is>
      </c>
      <c r="J22" s="3" t="inlineStr">
        <is>
          <t>Exfoliant / Keratolytic</t>
        </is>
      </c>
      <c r="N22" s="5" t="inlineStr">
        <is>
          <t>284390</t>
        </is>
      </c>
    </row>
    <row r="23" ht="15.75" customHeight="1" s="19">
      <c r="A23" s="3" t="n">
        <v>21</v>
      </c>
      <c r="B23" s="3" t="inlineStr">
        <is>
          <t>Bentonite</t>
        </is>
      </c>
      <c r="C23" s="3" t="inlineStr">
        <is>
          <t>1302-78-9</t>
        </is>
      </c>
      <c r="D23" s="3" t="inlineStr">
        <is>
          <t>330499</t>
        </is>
      </c>
      <c r="E23" s="3" t="inlineStr">
        <is>
          <t>Clay / Adsorbent</t>
        </is>
      </c>
      <c r="F23" s="3" t="inlineStr">
        <is>
          <t>High</t>
        </is>
      </c>
      <c r="G23" s="3" t="inlineStr">
        <is>
          <t>Face masks, mattifying products</t>
        </is>
      </c>
      <c r="H23" s="3" t="inlineStr">
        <is>
          <t>Pharmaceutical excipient</t>
        </is>
      </c>
      <c r="I23" s="3" t="inlineStr">
        <is>
          <t>Bulk</t>
        </is>
      </c>
      <c r="J23" s="3" t="inlineStr">
        <is>
          <t>Mineral Filler / Adsorbent</t>
        </is>
      </c>
      <c r="N23" s="5" t="inlineStr">
        <is>
          <t>284019</t>
        </is>
      </c>
    </row>
    <row r="24" ht="15.75" customHeight="1" s="19">
      <c r="A24" s="3" t="n">
        <v>22</v>
      </c>
      <c r="B24" s="3" t="inlineStr">
        <is>
          <t>Isodecyl Pelargonate</t>
        </is>
      </c>
      <c r="C24" s="3" t="inlineStr">
        <is>
          <t>109-32-0</t>
        </is>
      </c>
      <c r="D24" s="3" t="inlineStr">
        <is>
          <t>330499</t>
        </is>
      </c>
      <c r="E24" s="3" t="inlineStr">
        <is>
          <t>Emollient Ester</t>
        </is>
      </c>
      <c r="F24" s="3" t="inlineStr">
        <is>
          <t>High</t>
        </is>
      </c>
      <c r="G24" s="3" t="inlineStr">
        <is>
          <t>Skin care creams, makeup</t>
        </is>
      </c>
      <c r="H24" s="3" t="inlineStr">
        <is>
          <t>Sun care formulations</t>
        </is>
      </c>
      <c r="I24" s="3" t="inlineStr">
        <is>
          <t>Bulk</t>
        </is>
      </c>
      <c r="J24" s="3" t="inlineStr">
        <is>
          <t>Emollient Ester</t>
        </is>
      </c>
      <c r="N24" s="5" t="inlineStr">
        <is>
          <t>291990</t>
        </is>
      </c>
    </row>
    <row r="25" ht="15.75" customHeight="1" s="19">
      <c r="A25" s="3" t="n">
        <v>23</v>
      </c>
      <c r="B25" s="3" t="inlineStr">
        <is>
          <t>Decyl Anthranilate</t>
        </is>
      </c>
      <c r="C25" s="3" t="inlineStr">
        <is>
          <t>18189-07-6</t>
        </is>
      </c>
      <c r="D25" s="3" t="inlineStr">
        <is>
          <t>330499</t>
        </is>
      </c>
      <c r="E25" s="3" t="inlineStr">
        <is>
          <t>UV Filter (Mild)</t>
        </is>
      </c>
      <c r="F25" s="3" t="inlineStr">
        <is>
          <t>Medium</t>
        </is>
      </c>
      <c r="G25" s="3" t="inlineStr">
        <is>
          <t>Sunscreens</t>
        </is>
      </c>
      <c r="H25" s="3" t="inlineStr">
        <is>
          <t>Fragrance ingredient</t>
        </is>
      </c>
      <c r="I25" s="3" t="inlineStr">
        <is>
          <t>Active</t>
        </is>
      </c>
      <c r="J25" s="3" t="inlineStr">
        <is>
          <t>Organic UV Filter</t>
        </is>
      </c>
      <c r="N25" s="5" t="inlineStr">
        <is>
          <t>282759</t>
        </is>
      </c>
    </row>
    <row r="26" ht="15.75" customHeight="1" s="19">
      <c r="A26" s="3" t="n">
        <v>24</v>
      </c>
      <c r="B26" s="3" t="inlineStr">
        <is>
          <t>1,2-Octanediol</t>
        </is>
      </c>
      <c r="C26" s="3" t="inlineStr">
        <is>
          <t>1117-86-8</t>
        </is>
      </c>
      <c r="D26" s="3" t="inlineStr">
        <is>
          <t>330499</t>
        </is>
      </c>
      <c r="E26" s="3" t="inlineStr">
        <is>
          <t>Preservative Booster / Emollient</t>
        </is>
      </c>
      <c r="F26" s="3" t="inlineStr">
        <is>
          <t>High</t>
        </is>
      </c>
      <c r="G26" s="3" t="inlineStr">
        <is>
          <t>Skin care, antimicrobial systems</t>
        </is>
      </c>
      <c r="H26" s="3" t="inlineStr">
        <is>
          <t>Hair care formulations</t>
        </is>
      </c>
      <c r="I26" s="3" t="inlineStr">
        <is>
          <t>Active</t>
        </is>
      </c>
      <c r="J26" s="3" t="inlineStr">
        <is>
          <t>Diol Antimicrobial</t>
        </is>
      </c>
      <c r="N26" s="5" t="inlineStr">
        <is>
          <t>720292</t>
        </is>
      </c>
    </row>
    <row r="27" ht="15.75" customHeight="1" s="19">
      <c r="A27" s="3" t="n">
        <v>25</v>
      </c>
      <c r="B27" s="3" t="inlineStr">
        <is>
          <t>Isopropyl Palmitate</t>
        </is>
      </c>
      <c r="C27" s="3" t="inlineStr">
        <is>
          <t>142-91-6</t>
        </is>
      </c>
      <c r="D27" s="3" t="inlineStr">
        <is>
          <t>330499</t>
        </is>
      </c>
      <c r="E27" s="3" t="inlineStr">
        <is>
          <t>Emollient Ester</t>
        </is>
      </c>
      <c r="F27" s="3" t="inlineStr">
        <is>
          <t>High</t>
        </is>
      </c>
      <c r="G27" s="3" t="inlineStr">
        <is>
          <t>Creams, lotions, makeup removers</t>
        </is>
      </c>
      <c r="H27" s="3" t="inlineStr">
        <is>
          <t>Pharmaceutical ointments</t>
        </is>
      </c>
      <c r="I27" s="3" t="inlineStr">
        <is>
          <t>Bulk</t>
        </is>
      </c>
      <c r="J27" s="3" t="inlineStr">
        <is>
          <t>Emollient Ester</t>
        </is>
      </c>
      <c r="N27" s="5" t="inlineStr">
        <is>
          <t>284330</t>
        </is>
      </c>
    </row>
    <row r="28" ht="15.75" customHeight="1" s="19">
      <c r="A28" s="3" t="n">
        <v>26</v>
      </c>
      <c r="B28" s="3" t="inlineStr">
        <is>
          <t>Cetyl lactate</t>
        </is>
      </c>
      <c r="C28" s="3" t="inlineStr">
        <is>
          <t>35274-05-6</t>
        </is>
      </c>
      <c r="D28" s="3" t="inlineStr">
        <is>
          <t>330499</t>
        </is>
      </c>
      <c r="E28" s="3" t="inlineStr">
        <is>
          <t>Emollient Ester</t>
        </is>
      </c>
      <c r="F28" s="3" t="inlineStr">
        <is>
          <t>High</t>
        </is>
      </c>
      <c r="G28" s="3" t="inlineStr">
        <is>
          <t>Moisturizers, lip care</t>
        </is>
      </c>
      <c r="H28" s="3" t="inlineStr">
        <is>
          <t>Color cosmetics</t>
        </is>
      </c>
      <c r="I28" s="3" t="inlineStr">
        <is>
          <t>Bulk</t>
        </is>
      </c>
      <c r="J28" s="3" t="inlineStr">
        <is>
          <t>Emollient Ester</t>
        </is>
      </c>
      <c r="N28" s="5" t="inlineStr">
        <is>
          <t>711021</t>
        </is>
      </c>
    </row>
    <row r="29" ht="15.75" customHeight="1" s="19">
      <c r="A29" s="3" t="n">
        <v>27</v>
      </c>
      <c r="B29" s="3" t="inlineStr">
        <is>
          <t>1,2-Pentanediol</t>
        </is>
      </c>
      <c r="C29" s="3" t="inlineStr">
        <is>
          <t>5343-92-0</t>
        </is>
      </c>
      <c r="D29" s="3" t="inlineStr">
        <is>
          <t>330499</t>
        </is>
      </c>
      <c r="E29" s="3" t="inlineStr">
        <is>
          <t>Preservative Booster / Humectant</t>
        </is>
      </c>
      <c r="F29" s="3" t="inlineStr">
        <is>
          <t>High</t>
        </is>
      </c>
      <c r="G29" s="3" t="inlineStr">
        <is>
          <t>Skin care formulations</t>
        </is>
      </c>
      <c r="H29" s="3" t="inlineStr">
        <is>
          <t>Antimicrobial preservative systems</t>
        </is>
      </c>
      <c r="I29" s="3" t="inlineStr">
        <is>
          <t>Active</t>
        </is>
      </c>
      <c r="J29" s="3" t="inlineStr">
        <is>
          <t>Diol Antimicrobial</t>
        </is>
      </c>
      <c r="N29" s="5" t="inlineStr">
        <is>
          <t>711031</t>
        </is>
      </c>
    </row>
    <row r="30" ht="15.75" customHeight="1" s="19">
      <c r="A30" s="3" t="n">
        <v>28</v>
      </c>
      <c r="B30" s="3" t="inlineStr">
        <is>
          <t>1,2-Hexanediol</t>
        </is>
      </c>
      <c r="C30" s="3" t="inlineStr">
        <is>
          <t>6920-22-5</t>
        </is>
      </c>
      <c r="D30" s="3" t="inlineStr">
        <is>
          <t>330499</t>
        </is>
      </c>
      <c r="E30" s="3" t="inlineStr">
        <is>
          <t>Preservative Booster / Solvent</t>
        </is>
      </c>
      <c r="F30" s="3" t="inlineStr">
        <is>
          <t>High</t>
        </is>
      </c>
      <c r="G30" s="3" t="inlineStr">
        <is>
          <t>Skin care, serums</t>
        </is>
      </c>
      <c r="H30" s="3" t="inlineStr">
        <is>
          <t>Antimicrobial preservative systems</t>
        </is>
      </c>
      <c r="I30" s="3" t="inlineStr">
        <is>
          <t>Active</t>
        </is>
      </c>
      <c r="J30" s="3" t="inlineStr">
        <is>
          <t>Diol Antimicrobial</t>
        </is>
      </c>
      <c r="N30" s="5" t="inlineStr">
        <is>
          <t>710812</t>
        </is>
      </c>
    </row>
    <row r="31" ht="15.75" customHeight="1" s="19">
      <c r="A31" s="3" t="n">
        <v>29</v>
      </c>
      <c r="B31" s="3" t="inlineStr">
        <is>
          <t>Squalene</t>
        </is>
      </c>
      <c r="C31" s="3" t="inlineStr">
        <is>
          <t>111-01-3</t>
        </is>
      </c>
      <c r="D31" s="3" t="inlineStr">
        <is>
          <t>330499</t>
        </is>
      </c>
      <c r="E31" s="3" t="inlineStr">
        <is>
          <t>Emollient / Lipid</t>
        </is>
      </c>
      <c r="F31" s="3" t="inlineStr">
        <is>
          <t>High</t>
        </is>
      </c>
      <c r="G31" s="3" t="inlineStr">
        <is>
          <t>Moisturizers, anti-aging serums</t>
        </is>
      </c>
      <c r="H31" s="3" t="inlineStr">
        <is>
          <t>Pharmaceutical adjuvants</t>
        </is>
      </c>
      <c r="I31" s="3" t="inlineStr">
        <is>
          <t>Active</t>
        </is>
      </c>
      <c r="J31" s="3" t="inlineStr">
        <is>
          <t>Bio-identical Lipid</t>
        </is>
      </c>
      <c r="N31" s="5" t="inlineStr">
        <is>
          <t>284290</t>
        </is>
      </c>
    </row>
    <row r="32" ht="15.75" customHeight="1" s="19">
      <c r="A32" s="3" t="n">
        <v>30</v>
      </c>
      <c r="B32" s="3" t="inlineStr">
        <is>
          <t>Isethionic Acid Sodium Salt</t>
        </is>
      </c>
      <c r="C32" s="3" t="inlineStr">
        <is>
          <t>1562-00-1</t>
        </is>
      </c>
      <c r="D32" s="3" t="inlineStr">
        <is>
          <t>330499</t>
        </is>
      </c>
      <c r="E32" s="3" t="inlineStr">
        <is>
          <t>Surfactant Raw Material</t>
        </is>
      </c>
      <c r="F32" s="3" t="inlineStr">
        <is>
          <t>High</t>
        </is>
      </c>
      <c r="G32" s="3" t="inlineStr">
        <is>
          <t>Mild cleansing bars (syndet)</t>
        </is>
      </c>
      <c r="H32" s="3" t="inlineStr">
        <is>
          <t>Shampoos, body wash</t>
        </is>
      </c>
      <c r="I32" s="3" t="inlineStr">
        <is>
          <t>Bulk</t>
        </is>
      </c>
      <c r="J32" s="3" t="inlineStr">
        <is>
          <t>Anionic Surfactant Precursor</t>
        </is>
      </c>
      <c r="N32" s="5" t="inlineStr">
        <is>
          <t>283429</t>
        </is>
      </c>
    </row>
    <row r="33" ht="15.75" customHeight="1" s="19">
      <c r="A33" s="3" t="n">
        <v>31</v>
      </c>
      <c r="B33" s="3" t="inlineStr">
        <is>
          <t>Menthyl Lactate</t>
        </is>
      </c>
      <c r="C33" s="3" t="inlineStr">
        <is>
          <t>61597-98-6</t>
        </is>
      </c>
      <c r="D33" s="3" t="inlineStr">
        <is>
          <t>330499</t>
        </is>
      </c>
      <c r="E33" s="3" t="inlineStr">
        <is>
          <t>Cooling Agent</t>
        </is>
      </c>
      <c r="F33" s="3" t="inlineStr">
        <is>
          <t>High</t>
        </is>
      </c>
      <c r="G33" s="3" t="inlineStr">
        <is>
          <t>After-shave, oral care</t>
        </is>
      </c>
      <c r="H33" s="3" t="inlineStr">
        <is>
          <t>Topical analgesics</t>
        </is>
      </c>
      <c r="I33" s="3" t="inlineStr">
        <is>
          <t>Active</t>
        </is>
      </c>
      <c r="J33" s="3" t="inlineStr">
        <is>
          <t>Sensory Modifier</t>
        </is>
      </c>
      <c r="N33" s="5" t="inlineStr">
        <is>
          <t>281900</t>
        </is>
      </c>
    </row>
    <row r="34" ht="15.75" customHeight="1" s="19">
      <c r="A34" s="3" t="n">
        <v>32</v>
      </c>
      <c r="B34" s="3" t="inlineStr">
        <is>
          <t>Benzyl Alcohol</t>
        </is>
      </c>
      <c r="C34" s="3" t="inlineStr">
        <is>
          <t>100-51-6</t>
        </is>
      </c>
      <c r="D34" s="3" t="inlineStr">
        <is>
          <t>330499</t>
        </is>
      </c>
      <c r="E34" s="3" t="inlineStr">
        <is>
          <t>Preservative / Solvent</t>
        </is>
      </c>
      <c r="F34" s="3" t="inlineStr">
        <is>
          <t>High</t>
        </is>
      </c>
      <c r="G34" s="3" t="inlineStr">
        <is>
          <t>Cosmetic preservative systems</t>
        </is>
      </c>
      <c r="H34" s="3" t="inlineStr">
        <is>
          <t>Pharmaceutical injections</t>
        </is>
      </c>
      <c r="I34" s="3" t="inlineStr">
        <is>
          <t>Bulk</t>
        </is>
      </c>
      <c r="J34" s="3" t="inlineStr">
        <is>
          <t>Antimicrobial Preservative</t>
        </is>
      </c>
      <c r="N34" s="5" t="inlineStr">
        <is>
          <t>291529</t>
        </is>
      </c>
    </row>
    <row r="35" ht="15.75" customHeight="1" s="19">
      <c r="A35" s="3" t="n">
        <v>33</v>
      </c>
      <c r="B35" s="3" t="inlineStr">
        <is>
          <t>O-Creosotic Acid (3-Methyl Salicylic Acid)</t>
        </is>
      </c>
      <c r="C35" s="3" t="inlineStr">
        <is>
          <t>83-40-9</t>
        </is>
      </c>
      <c r="D35" s="3" t="inlineStr">
        <is>
          <t>330499</t>
        </is>
      </c>
      <c r="E35" s="3" t="inlineStr">
        <is>
          <t>Salicylic Acid Derivative</t>
        </is>
      </c>
      <c r="F35" s="3" t="inlineStr">
        <is>
          <t>High</t>
        </is>
      </c>
      <c r="G35" s="3" t="inlineStr">
        <is>
          <t>Anti-acne treatments</t>
        </is>
      </c>
      <c r="H35" s="3" t="inlineStr">
        <is>
          <t>Chemical synthesis</t>
        </is>
      </c>
      <c r="I35" s="3" t="inlineStr">
        <is>
          <t>Active</t>
        </is>
      </c>
      <c r="J35" s="3" t="inlineStr">
        <is>
          <t>Keratolytic</t>
        </is>
      </c>
      <c r="N35" s="5" t="inlineStr">
        <is>
          <t>282739</t>
        </is>
      </c>
    </row>
    <row r="36" ht="15.75" customHeight="1" s="19">
      <c r="A36" s="3" t="n">
        <v>34</v>
      </c>
      <c r="B36" s="3" t="inlineStr">
        <is>
          <t>2,4-Diamino-6-Chloropyrimidine3-Oxide</t>
        </is>
      </c>
      <c r="C36" s="3" t="inlineStr">
        <is>
          <t>34960-71-9</t>
        </is>
      </c>
      <c r="D36" s="3" t="inlineStr">
        <is>
          <t>340290</t>
        </is>
      </c>
      <c r="E36" s="3" t="inlineStr">
        <is>
          <t>Hair Care Active</t>
        </is>
      </c>
      <c r="F36" s="3" t="inlineStr">
        <is>
          <t>High</t>
        </is>
      </c>
      <c r="G36" s="3" t="inlineStr">
        <is>
          <t>Anti-hair loss treatments</t>
        </is>
      </c>
      <c r="H36" s="3" t="inlineStr">
        <is>
          <t>Topical scalp treatments</t>
        </is>
      </c>
      <c r="I36" s="3" t="inlineStr">
        <is>
          <t>Active</t>
        </is>
      </c>
      <c r="J36" s="3" t="inlineStr">
        <is>
          <t>Hair Growth Stimulant</t>
        </is>
      </c>
      <c r="N36" s="5" t="inlineStr">
        <is>
          <t>282550</t>
        </is>
      </c>
    </row>
    <row r="37" ht="15.75" customHeight="1" s="19">
      <c r="A37" s="3" t="n">
        <v>35</v>
      </c>
      <c r="B37" s="3" t="inlineStr">
        <is>
          <t>Diethylamino Hydroxybenzoyl Hexyl Benzoate (DHHB)</t>
        </is>
      </c>
      <c r="C37" s="3" t="inlineStr">
        <is>
          <t>302776-68-7</t>
        </is>
      </c>
      <c r="D37" s="3" t="inlineStr">
        <is>
          <t>330499</t>
        </is>
      </c>
      <c r="E37" s="3" t="inlineStr">
        <is>
          <t>UV Filter</t>
        </is>
      </c>
      <c r="F37" s="3" t="inlineStr">
        <is>
          <t>High</t>
        </is>
      </c>
      <c r="G37" s="3" t="inlineStr">
        <is>
          <t>Sunscreens (UVA protection)</t>
        </is>
      </c>
      <c r="H37" s="3" t="inlineStr">
        <is>
          <t>Anti-aging day creams</t>
        </is>
      </c>
      <c r="I37" s="3" t="inlineStr">
        <is>
          <t>Active</t>
        </is>
      </c>
      <c r="J37" s="3" t="inlineStr">
        <is>
          <t>Organic UV Filter</t>
        </is>
      </c>
      <c r="N37" s="5" t="inlineStr">
        <is>
          <t>284150</t>
        </is>
      </c>
    </row>
    <row r="38" ht="15.75" customHeight="1" s="19">
      <c r="A38" s="3" t="n">
        <v>36</v>
      </c>
      <c r="B38" s="3" t="inlineStr">
        <is>
          <t>Climbazole</t>
        </is>
      </c>
      <c r="C38" s="3" t="inlineStr">
        <is>
          <t>38083-17-9</t>
        </is>
      </c>
      <c r="D38" s="3" t="inlineStr">
        <is>
          <t>330499</t>
        </is>
      </c>
      <c r="E38" s="3" t="inlineStr">
        <is>
          <t>Anti-Dandruff Active</t>
        </is>
      </c>
      <c r="F38" s="3" t="inlineStr">
        <is>
          <t>High</t>
        </is>
      </c>
      <c r="G38" s="3" t="inlineStr">
        <is>
          <t>Anti-dandruff shampoos</t>
        </is>
      </c>
      <c r="H38" s="3" t="inlineStr">
        <is>
          <t>Scalp treatment products</t>
        </is>
      </c>
      <c r="I38" s="3" t="inlineStr">
        <is>
          <t>Active</t>
        </is>
      </c>
      <c r="J38" s="3" t="inlineStr">
        <is>
          <t>Antifungal</t>
        </is>
      </c>
      <c r="N38" s="5" t="inlineStr">
        <is>
          <t>283324</t>
        </is>
      </c>
    </row>
    <row r="39" ht="15.75" customHeight="1" s="19">
      <c r="A39" s="3" t="n">
        <v>37</v>
      </c>
      <c r="B39" s="3" t="inlineStr">
        <is>
          <t>Avobenzone</t>
        </is>
      </c>
      <c r="C39" s="3" t="inlineStr">
        <is>
          <t>70356-09-1</t>
        </is>
      </c>
      <c r="D39" s="3" t="inlineStr">
        <is>
          <t>330499</t>
        </is>
      </c>
      <c r="E39" s="3" t="inlineStr">
        <is>
          <t>UV Filter</t>
        </is>
      </c>
      <c r="F39" s="3" t="inlineStr">
        <is>
          <t>High</t>
        </is>
      </c>
      <c r="G39" s="3" t="inlineStr">
        <is>
          <t>Sunscreens (broad-spectrum UVA)</t>
        </is>
      </c>
      <c r="H39" s="3" t="inlineStr">
        <is>
          <t>Day creams with SPF</t>
        </is>
      </c>
      <c r="I39" s="3" t="inlineStr">
        <is>
          <t>Active</t>
        </is>
      </c>
      <c r="J39" s="3" t="inlineStr">
        <is>
          <t>Organic UV Filter</t>
        </is>
      </c>
      <c r="N39" s="5" t="inlineStr">
        <is>
          <t>282619</t>
        </is>
      </c>
    </row>
    <row r="40" ht="15.75" customHeight="1" s="19">
      <c r="A40" s="3" t="n">
        <v>38</v>
      </c>
      <c r="B40" s="3" t="inlineStr">
        <is>
          <t>Ethylhexylglycerin</t>
        </is>
      </c>
      <c r="C40" s="3" t="inlineStr">
        <is>
          <t>70445-33-9</t>
        </is>
      </c>
      <c r="D40" s="3" t="inlineStr">
        <is>
          <t>330499</t>
        </is>
      </c>
      <c r="E40" s="3" t="inlineStr">
        <is>
          <t>Preservative Booster / Emollient</t>
        </is>
      </c>
      <c r="F40" s="3" t="inlineStr">
        <is>
          <t>High</t>
        </is>
      </c>
      <c r="G40" s="3" t="inlineStr">
        <is>
          <t>Deodorants, skin care</t>
        </is>
      </c>
      <c r="H40" s="3" t="inlineStr">
        <is>
          <t>Preservative enhancer</t>
        </is>
      </c>
      <c r="I40" s="3" t="inlineStr">
        <is>
          <t>Active</t>
        </is>
      </c>
      <c r="J40" s="3" t="inlineStr">
        <is>
          <t>Multifunctional Active</t>
        </is>
      </c>
      <c r="N40" s="5" t="inlineStr">
        <is>
          <t>290541</t>
        </is>
      </c>
    </row>
    <row r="41" ht="15.75" customHeight="1" s="19">
      <c r="A41" s="3" t="n">
        <v>39</v>
      </c>
      <c r="B41" s="3" t="inlineStr">
        <is>
          <t>Polyquaternium-7</t>
        </is>
      </c>
      <c r="C41" s="3" t="inlineStr">
        <is>
          <t>26590-05-6</t>
        </is>
      </c>
      <c r="D41" s="3" t="inlineStr">
        <is>
          <t>330499</t>
        </is>
      </c>
      <c r="E41" s="3" t="inlineStr">
        <is>
          <t>Conditioning Polymer</t>
        </is>
      </c>
      <c r="F41" s="3" t="inlineStr">
        <is>
          <t>High</t>
        </is>
      </c>
      <c r="G41" s="3" t="inlineStr">
        <is>
          <t>Shampoos, body wash</t>
        </is>
      </c>
      <c r="H41" s="3" t="inlineStr">
        <is>
          <t>Skin care lotions</t>
        </is>
      </c>
      <c r="I41" s="3" t="inlineStr">
        <is>
          <t>Bulk</t>
        </is>
      </c>
      <c r="J41" s="3" t="inlineStr">
        <is>
          <t>Cationic Polymer</t>
        </is>
      </c>
      <c r="N41" s="5" t="inlineStr">
        <is>
          <t>282590</t>
        </is>
      </c>
    </row>
    <row r="42" ht="15.75" customHeight="1" s="19">
      <c r="A42" s="3" t="n">
        <v>40</v>
      </c>
      <c r="B42" s="3" t="inlineStr">
        <is>
          <t>Sodium Lauryl Sulfate (SLS)</t>
        </is>
      </c>
      <c r="C42" s="3" t="inlineStr">
        <is>
          <t>151-21-3</t>
        </is>
      </c>
      <c r="D42" s="3" t="inlineStr">
        <is>
          <t>340290</t>
        </is>
      </c>
      <c r="E42" s="3" t="inlineStr">
        <is>
          <t>Anionic Surfactant</t>
        </is>
      </c>
      <c r="F42" s="3" t="inlineStr">
        <is>
          <t>High</t>
        </is>
      </c>
      <c r="G42" s="3" t="inlineStr">
        <is>
          <t>Shampoos, toothpaste, cleansers</t>
        </is>
      </c>
      <c r="H42" s="3" t="inlineStr">
        <is>
          <t>Industrial cleaning</t>
        </is>
      </c>
      <c r="I42" s="3" t="inlineStr">
        <is>
          <t>Bulk</t>
        </is>
      </c>
      <c r="J42" s="3" t="inlineStr">
        <is>
          <t>Primary Surfactant</t>
        </is>
      </c>
      <c r="N42" s="5" t="inlineStr">
        <is>
          <t>281190</t>
        </is>
      </c>
    </row>
    <row r="43" ht="15.75" customHeight="1" s="19">
      <c r="A43" s="3" t="n">
        <v>41</v>
      </c>
      <c r="B43" s="3" t="inlineStr">
        <is>
          <t>3,4,5-Trimethoxytoluene</t>
        </is>
      </c>
      <c r="C43" s="3" t="inlineStr">
        <is>
          <t>6443-69-2</t>
        </is>
      </c>
      <c r="D43" s="3" t="inlineStr">
        <is>
          <t>330499</t>
        </is>
      </c>
      <c r="E43" s="3" t="inlineStr">
        <is>
          <t>Fragrance Compound</t>
        </is>
      </c>
      <c r="F43" s="3" t="inlineStr">
        <is>
          <t>Medium</t>
        </is>
      </c>
      <c r="G43" s="3" t="inlineStr">
        <is>
          <t>Perfumery, flavor compositions</t>
        </is>
      </c>
      <c r="H43" s="3" t="inlineStr">
        <is>
          <t>Chemical synthesis</t>
        </is>
      </c>
      <c r="I43" s="3" t="inlineStr">
        <is>
          <t>Active</t>
        </is>
      </c>
      <c r="J43" s="3" t="inlineStr">
        <is>
          <t>Aroma Chemical</t>
        </is>
      </c>
      <c r="N43" s="5" t="inlineStr">
        <is>
          <t>284170</t>
        </is>
      </c>
    </row>
    <row r="44" ht="15.75" customHeight="1" s="19">
      <c r="A44" s="3" t="n">
        <v>42</v>
      </c>
      <c r="B44" s="3" t="inlineStr">
        <is>
          <t>Methyl-3-Methyl Salicylate</t>
        </is>
      </c>
      <c r="C44" s="3" t="inlineStr">
        <is>
          <t>23287-26-5</t>
        </is>
      </c>
      <c r="D44" s="3" t="inlineStr">
        <is>
          <t>330499</t>
        </is>
      </c>
      <c r="E44" s="3" t="inlineStr">
        <is>
          <t>Fragrance / Analgesic</t>
        </is>
      </c>
      <c r="F44" s="3" t="inlineStr">
        <is>
          <t>Medium</t>
        </is>
      </c>
      <c r="G44" s="3" t="inlineStr">
        <is>
          <t>Topical pain relief</t>
        </is>
      </c>
      <c r="H44" s="3" t="inlineStr">
        <is>
          <t>Flavor and fragrance</t>
        </is>
      </c>
      <c r="I44" s="3" t="inlineStr">
        <is>
          <t>Active</t>
        </is>
      </c>
      <c r="J44" s="3" t="inlineStr">
        <is>
          <t>Salicylate Derivative</t>
        </is>
      </c>
      <c r="N44" s="5" t="inlineStr">
        <is>
          <t>283010</t>
        </is>
      </c>
    </row>
    <row r="45" ht="15.75" customHeight="1" s="19">
      <c r="A45" s="3" t="n">
        <v>43</v>
      </c>
      <c r="B45" s="3" t="inlineStr">
        <is>
          <t>Methyl-5-Methyl Salicylate ( Methyl Cresotinate)</t>
        </is>
      </c>
      <c r="C45" s="3" t="inlineStr">
        <is>
          <t>22717-57-3</t>
        </is>
      </c>
      <c r="D45" s="3" t="inlineStr">
        <is>
          <t>330499</t>
        </is>
      </c>
      <c r="E45" s="3" t="inlineStr">
        <is>
          <t>Fragrance</t>
        </is>
      </c>
      <c r="F45" s="3" t="inlineStr">
        <is>
          <t>Medium</t>
        </is>
      </c>
      <c r="G45" s="3" t="inlineStr">
        <is>
          <t>Perfumery compositions</t>
        </is>
      </c>
      <c r="H45" s="3" t="inlineStr">
        <is>
          <t>Flavor applications</t>
        </is>
      </c>
      <c r="I45" s="3" t="inlineStr">
        <is>
          <t>Active</t>
        </is>
      </c>
      <c r="J45" s="3" t="inlineStr">
        <is>
          <t>Aroma Chemical</t>
        </is>
      </c>
      <c r="N45" s="5" t="inlineStr">
        <is>
          <t>282749</t>
        </is>
      </c>
    </row>
    <row r="46" ht="15.75" customHeight="1" s="19">
      <c r="A46" s="3" t="n">
        <v>44</v>
      </c>
      <c r="B46" s="3" t="inlineStr">
        <is>
          <t>Bis-Ethylhexyloxyphenol Methoxyphenyl Triazine (Bemotrizinol)</t>
        </is>
      </c>
      <c r="C46" s="3" t="inlineStr">
        <is>
          <t>187393-00-6</t>
        </is>
      </c>
      <c r="D46" s="3" t="inlineStr">
        <is>
          <t>330499</t>
        </is>
      </c>
      <c r="E46" s="3" t="inlineStr">
        <is>
          <t>UV Filter</t>
        </is>
      </c>
      <c r="F46" s="3" t="inlineStr">
        <is>
          <t>High</t>
        </is>
      </c>
      <c r="G46" s="3" t="inlineStr">
        <is>
          <t>Sunscreens (broad-spectrum)</t>
        </is>
      </c>
      <c r="H46" s="3" t="inlineStr">
        <is>
          <t>Photo-stable UV protection</t>
        </is>
      </c>
      <c r="I46" s="3" t="inlineStr">
        <is>
          <t>Active</t>
        </is>
      </c>
      <c r="J46" s="3" t="inlineStr">
        <is>
          <t>Organic UV Filter</t>
        </is>
      </c>
      <c r="N46" s="5" t="inlineStr">
        <is>
          <t>282990</t>
        </is>
      </c>
    </row>
    <row r="47" ht="15.75" customHeight="1" s="19">
      <c r="A47" s="3" t="n">
        <v>45</v>
      </c>
      <c r="B47" s="3" t="inlineStr">
        <is>
          <t>Bisoctrizole</t>
        </is>
      </c>
      <c r="C47" s="3" t="inlineStr">
        <is>
          <t>103597-45-1</t>
        </is>
      </c>
      <c r="D47" s="3" t="inlineStr">
        <is>
          <t>330499</t>
        </is>
      </c>
      <c r="E47" s="3" t="inlineStr">
        <is>
          <t>UV Filter</t>
        </is>
      </c>
      <c r="F47" s="3" t="inlineStr">
        <is>
          <t>High</t>
        </is>
      </c>
      <c r="G47" s="3" t="inlineStr">
        <is>
          <t>Sunscreens (broad-spectrum)</t>
        </is>
      </c>
      <c r="H47" s="3" t="inlineStr">
        <is>
          <t>Water-resistant sun care</t>
        </is>
      </c>
      <c r="I47" s="3" t="inlineStr">
        <is>
          <t>Active</t>
        </is>
      </c>
      <c r="J47" s="3" t="inlineStr">
        <is>
          <t>Organic UV Filter</t>
        </is>
      </c>
      <c r="N47" s="5" t="inlineStr">
        <is>
          <t>281290</t>
        </is>
      </c>
    </row>
    <row r="48" ht="15.75" customHeight="1" s="19">
      <c r="A48" s="3" t="n">
        <v>46</v>
      </c>
      <c r="B48" s="3" t="inlineStr">
        <is>
          <t>Diethyl Hexyl Butamido Triazone (DHBT)</t>
        </is>
      </c>
      <c r="C48" s="3" t="inlineStr">
        <is>
          <t>154702-15-5</t>
        </is>
      </c>
      <c r="D48" s="3" t="inlineStr">
        <is>
          <t>330499</t>
        </is>
      </c>
      <c r="E48" s="3" t="inlineStr">
        <is>
          <t>UV Filter</t>
        </is>
      </c>
      <c r="F48" s="3" t="inlineStr">
        <is>
          <t>High</t>
        </is>
      </c>
      <c r="G48" s="3" t="inlineStr">
        <is>
          <t>Sunscreens (UVB booster)</t>
        </is>
      </c>
      <c r="H48" s="3" t="inlineStr">
        <is>
          <t>High-SPF formulations</t>
        </is>
      </c>
      <c r="I48" s="3" t="inlineStr">
        <is>
          <t>Active</t>
        </is>
      </c>
      <c r="J48" s="3" t="inlineStr">
        <is>
          <t>Organic UV Filter</t>
        </is>
      </c>
      <c r="N48" s="5" t="inlineStr">
        <is>
          <t>283526</t>
        </is>
      </c>
    </row>
    <row r="49" ht="15.75" customHeight="1" s="19">
      <c r="A49" s="3" t="n">
        <v>47</v>
      </c>
      <c r="B49" s="3" t="inlineStr">
        <is>
          <t>4-Butylresorcinol</t>
        </is>
      </c>
      <c r="C49" s="3" t="inlineStr">
        <is>
          <t>18979-61-8</t>
        </is>
      </c>
      <c r="D49" s="3" t="inlineStr">
        <is>
          <t>330499</t>
        </is>
      </c>
      <c r="E49" s="3" t="inlineStr">
        <is>
          <t>Skin Lightening Agent</t>
        </is>
      </c>
      <c r="F49" s="3" t="inlineStr">
        <is>
          <t>High</t>
        </is>
      </c>
      <c r="G49" s="3" t="inlineStr">
        <is>
          <t>Depigmentation serums</t>
        </is>
      </c>
      <c r="H49" s="3" t="inlineStr">
        <is>
          <t>Anti-spot treatments</t>
        </is>
      </c>
      <c r="I49" s="3" t="inlineStr">
        <is>
          <t>Active</t>
        </is>
      </c>
      <c r="J49" s="3" t="inlineStr">
        <is>
          <t>Tyrosinase Inhibitor</t>
        </is>
      </c>
      <c r="N49" s="5" t="inlineStr">
        <is>
          <t>750400</t>
        </is>
      </c>
    </row>
    <row r="50" ht="15.75" customHeight="1" s="19">
      <c r="A50" s="3" t="n">
        <v>48</v>
      </c>
      <c r="B50" s="3" t="inlineStr">
        <is>
          <t>Ethylhexyl triazone</t>
        </is>
      </c>
      <c r="C50" s="3" t="inlineStr">
        <is>
          <t>88122-99-0</t>
        </is>
      </c>
      <c r="D50" s="3" t="inlineStr">
        <is>
          <t>330499</t>
        </is>
      </c>
      <c r="E50" s="3" t="inlineStr">
        <is>
          <t>UV Filter</t>
        </is>
      </c>
      <c r="F50" s="3" t="inlineStr">
        <is>
          <t>High</t>
        </is>
      </c>
      <c r="G50" s="3" t="inlineStr">
        <is>
          <t>Sunscreens (UVB protection)</t>
        </is>
      </c>
      <c r="H50" s="3" t="inlineStr">
        <is>
          <t>High-SPF formulations</t>
        </is>
      </c>
      <c r="I50" s="3" t="inlineStr">
        <is>
          <t>Active</t>
        </is>
      </c>
      <c r="J50" s="3" t="inlineStr">
        <is>
          <t>Organic UV Filter</t>
        </is>
      </c>
      <c r="N50" s="5" t="inlineStr">
        <is>
          <t>282490</t>
        </is>
      </c>
    </row>
    <row r="51" ht="15.75" customHeight="1" s="19">
      <c r="A51" s="3" t="n">
        <v>49</v>
      </c>
      <c r="B51" s="3" t="inlineStr">
        <is>
          <t>2-Ethylhexyl 4-aminobenzoate</t>
        </is>
      </c>
      <c r="C51" s="3" t="inlineStr">
        <is>
          <t>26218-04-2</t>
        </is>
      </c>
      <c r="D51" s="3" t="inlineStr">
        <is>
          <t>330499</t>
        </is>
      </c>
      <c r="E51" s="3" t="inlineStr">
        <is>
          <t>UV Filter</t>
        </is>
      </c>
      <c r="F51" s="3" t="inlineStr">
        <is>
          <t>High</t>
        </is>
      </c>
      <c r="G51" s="3" t="inlineStr">
        <is>
          <t>Sunscreens (UVB)</t>
        </is>
      </c>
      <c r="H51" s="3" t="inlineStr">
        <is>
          <t>Lip care with SPF</t>
        </is>
      </c>
      <c r="I51" s="3" t="inlineStr">
        <is>
          <t>Active</t>
        </is>
      </c>
      <c r="J51" s="3" t="inlineStr">
        <is>
          <t>Organic UV Filter</t>
        </is>
      </c>
      <c r="N51" s="5" t="inlineStr">
        <is>
          <t>283692</t>
        </is>
      </c>
    </row>
    <row r="52" ht="15.75" customHeight="1" s="19">
      <c r="A52" s="3" t="n">
        <v>50</v>
      </c>
      <c r="B52" s="3" t="inlineStr">
        <is>
          <t>2-Phenylbenzimidazole-5-sulfonic acid (PBSA)</t>
        </is>
      </c>
      <c r="C52" s="3" t="inlineStr">
        <is>
          <t>27503-81-7</t>
        </is>
      </c>
      <c r="D52" s="3" t="inlineStr">
        <is>
          <t>330499</t>
        </is>
      </c>
      <c r="E52" s="3" t="inlineStr">
        <is>
          <t>UV Filter</t>
        </is>
      </c>
      <c r="F52" s="3" t="inlineStr">
        <is>
          <t>High</t>
        </is>
      </c>
      <c r="G52" s="3" t="inlineStr">
        <is>
          <t>Sunscreens (water-soluble UVB)</t>
        </is>
      </c>
      <c r="H52" s="3" t="inlineStr">
        <is>
          <t>Aqueous sun care</t>
        </is>
      </c>
      <c r="I52" s="3" t="inlineStr">
        <is>
          <t>Active</t>
        </is>
      </c>
      <c r="J52" s="3" t="inlineStr">
        <is>
          <t>Organic UV Filter</t>
        </is>
      </c>
      <c r="N52" s="5" t="inlineStr">
        <is>
          <t>285200</t>
        </is>
      </c>
    </row>
    <row r="53" ht="15.75" customHeight="1" s="19">
      <c r="A53" s="3" t="n">
        <v>51</v>
      </c>
      <c r="B53" s="3" t="inlineStr">
        <is>
          <t>Piroctone Olamine</t>
        </is>
      </c>
      <c r="C53" s="3" t="inlineStr">
        <is>
          <t>68890-66-4</t>
        </is>
      </c>
      <c r="D53" s="3" t="inlineStr">
        <is>
          <t>330499</t>
        </is>
      </c>
      <c r="E53" s="3" t="inlineStr">
        <is>
          <t>Anti-Dandruff Active</t>
        </is>
      </c>
      <c r="F53" s="3" t="inlineStr">
        <is>
          <t>High</t>
        </is>
      </c>
      <c r="G53" s="3" t="inlineStr">
        <is>
          <t>Anti-dandruff shampoos</t>
        </is>
      </c>
      <c r="H53" s="3" t="inlineStr">
        <is>
          <t>Scalp care treatments</t>
        </is>
      </c>
      <c r="I53" s="3" t="inlineStr">
        <is>
          <t>Active</t>
        </is>
      </c>
      <c r="J53" s="3" t="inlineStr">
        <is>
          <t>Antifungal</t>
        </is>
      </c>
      <c r="N53" s="5" t="inlineStr">
        <is>
          <t>282735</t>
        </is>
      </c>
    </row>
    <row r="54" ht="15.75" customHeight="1" s="19">
      <c r="A54" s="3" t="n">
        <v>52</v>
      </c>
      <c r="B54" s="3" t="inlineStr">
        <is>
          <t>Carboxymethylcellulose</t>
        </is>
      </c>
      <c r="C54" s="3" t="inlineStr">
        <is>
          <t>9004-32-4</t>
        </is>
      </c>
      <c r="D54" s="3" t="inlineStr">
        <is>
          <t>330499</t>
        </is>
      </c>
      <c r="E54" s="3" t="inlineStr">
        <is>
          <t>Thickener / Stabilizer</t>
        </is>
      </c>
      <c r="F54" s="3" t="inlineStr">
        <is>
          <t>High</t>
        </is>
      </c>
      <c r="G54" s="3" t="inlineStr">
        <is>
          <t>Toothpaste, lotions, creams</t>
        </is>
      </c>
      <c r="H54" s="3" t="inlineStr">
        <is>
          <t>Pharmaceutical suspensions</t>
        </is>
      </c>
      <c r="I54" s="3" t="inlineStr">
        <is>
          <t>Bulk</t>
        </is>
      </c>
      <c r="J54" s="3" t="inlineStr">
        <is>
          <t>Cellulose Polymer</t>
        </is>
      </c>
      <c r="N54" s="5" t="inlineStr">
        <is>
          <t>284190</t>
        </is>
      </c>
    </row>
    <row r="55" ht="15.75" customHeight="1" s="19">
      <c r="A55" s="3" t="n">
        <v>53</v>
      </c>
      <c r="B55" s="3" t="inlineStr">
        <is>
          <t>DMDM Hydantoin</t>
        </is>
      </c>
      <c r="C55" s="3" t="inlineStr">
        <is>
          <t>6440-58-0</t>
        </is>
      </c>
      <c r="D55" s="3" t="inlineStr">
        <is>
          <t>330499</t>
        </is>
      </c>
      <c r="E55" s="3" t="inlineStr">
        <is>
          <t>Preservative</t>
        </is>
      </c>
      <c r="F55" s="3" t="inlineStr">
        <is>
          <t>High</t>
        </is>
      </c>
      <c r="G55" s="3" t="inlineStr">
        <is>
          <t>Shampoos, conditioners</t>
        </is>
      </c>
      <c r="H55" s="3" t="inlineStr">
        <is>
          <t>Skin care formulations</t>
        </is>
      </c>
      <c r="I55" s="3" t="inlineStr">
        <is>
          <t>Bulk</t>
        </is>
      </c>
      <c r="J55" s="3" t="inlineStr">
        <is>
          <t>Formaldehyde-releasing Preservative</t>
        </is>
      </c>
      <c r="N55" s="5" t="inlineStr">
        <is>
          <t>810520</t>
        </is>
      </c>
    </row>
    <row r="56" ht="15.75" customHeight="1" s="19">
      <c r="A56" s="3" t="n">
        <v>54</v>
      </c>
      <c r="B56" s="3" t="inlineStr">
        <is>
          <t>Dodecyldimethylamine oxide (Lauramine oxide)</t>
        </is>
      </c>
      <c r="C56" s="3" t="inlineStr">
        <is>
          <t>1643-20-5</t>
        </is>
      </c>
      <c r="D56" s="3" t="inlineStr">
        <is>
          <t>340290</t>
        </is>
      </c>
      <c r="E56" s="3" t="inlineStr">
        <is>
          <t>Amphoteric Surfactant</t>
        </is>
      </c>
      <c r="F56" s="3" t="inlineStr">
        <is>
          <t>High</t>
        </is>
      </c>
      <c r="G56" s="3" t="inlineStr">
        <is>
          <t>Shampoos, household cleaners</t>
        </is>
      </c>
      <c r="H56" s="3" t="inlineStr">
        <is>
          <t>Foam boosters</t>
        </is>
      </c>
      <c r="I56" s="3" t="inlineStr">
        <is>
          <t>Bulk</t>
        </is>
      </c>
      <c r="J56" s="3" t="inlineStr">
        <is>
          <t>Amine Oxide Surfactant</t>
        </is>
      </c>
      <c r="N56" s="5" t="inlineStr">
        <is>
          <t>811100</t>
        </is>
      </c>
    </row>
    <row r="57" ht="15.75" customHeight="1" s="19">
      <c r="A57" s="3" t="n">
        <v>55</v>
      </c>
      <c r="B57" s="3" t="inlineStr">
        <is>
          <t>2-Methylresorcinol</t>
        </is>
      </c>
      <c r="C57" s="3" t="inlineStr">
        <is>
          <t>608-25-3</t>
        </is>
      </c>
      <c r="D57" s="3" t="inlineStr">
        <is>
          <t>330499</t>
        </is>
      </c>
      <c r="E57" s="3" t="inlineStr">
        <is>
          <t>Hair Dye Intermediate</t>
        </is>
      </c>
      <c r="F57" s="3" t="inlineStr">
        <is>
          <t>High</t>
        </is>
      </c>
      <c r="G57" s="3" t="inlineStr">
        <is>
          <t>Oxidative hair color</t>
        </is>
      </c>
      <c r="H57" s="3" t="inlineStr">
        <is>
          <t>Semi-permanent dyes</t>
        </is>
      </c>
      <c r="I57" s="3" t="inlineStr">
        <is>
          <t>Active</t>
        </is>
      </c>
      <c r="J57" s="3" t="inlineStr">
        <is>
          <t>Hair Colorant Coupler</t>
        </is>
      </c>
      <c r="N57" s="5" t="inlineStr">
        <is>
          <t>811221</t>
        </is>
      </c>
    </row>
    <row r="58" ht="15.75" customHeight="1" s="19">
      <c r="A58" s="3" t="n">
        <v>56</v>
      </c>
      <c r="B58" s="3" t="inlineStr">
        <is>
          <t>Stannous Fluoride</t>
        </is>
      </c>
      <c r="C58" s="3" t="inlineStr">
        <is>
          <t>7783-47-3</t>
        </is>
      </c>
      <c r="D58" s="3" t="inlineStr">
        <is>
          <t>330499</t>
        </is>
      </c>
      <c r="E58" s="3" t="inlineStr">
        <is>
          <t>Oral Care Active</t>
        </is>
      </c>
      <c r="F58" s="3" t="inlineStr">
        <is>
          <t>High</t>
        </is>
      </c>
      <c r="G58" s="3" t="inlineStr">
        <is>
          <t>Toothpaste (anti-cavity, anti-gingivitis)</t>
        </is>
      </c>
      <c r="H58" s="3" t="inlineStr">
        <is>
          <t>Dental rinses</t>
        </is>
      </c>
      <c r="I58" s="3" t="inlineStr">
        <is>
          <t>Active</t>
        </is>
      </c>
      <c r="J58" s="3" t="inlineStr">
        <is>
          <t>Fluoride Active</t>
        </is>
      </c>
      <c r="N58" s="5" t="inlineStr">
        <is>
          <t>710610</t>
        </is>
      </c>
    </row>
    <row r="59" ht="15.75" customHeight="1" s="19">
      <c r="A59" s="3" t="n">
        <v>57</v>
      </c>
      <c r="B59" s="3" t="inlineStr">
        <is>
          <t>Chlorphenesin</t>
        </is>
      </c>
      <c r="C59" s="3" t="inlineStr">
        <is>
          <t>104-29-0</t>
        </is>
      </c>
      <c r="D59" s="3" t="inlineStr">
        <is>
          <t>330499</t>
        </is>
      </c>
      <c r="E59" s="3" t="inlineStr">
        <is>
          <t>Preservative</t>
        </is>
      </c>
      <c r="F59" s="3" t="inlineStr">
        <is>
          <t>High</t>
        </is>
      </c>
      <c r="G59" s="3" t="inlineStr">
        <is>
          <t>Skin care, color cosmetics</t>
        </is>
      </c>
      <c r="H59" s="3" t="inlineStr">
        <is>
          <t>Muscle relaxant (pharma)</t>
        </is>
      </c>
      <c r="I59" s="3" t="inlineStr">
        <is>
          <t>Bulk</t>
        </is>
      </c>
      <c r="J59" s="3" t="inlineStr">
        <is>
          <t>Antimicrobial Preservative</t>
        </is>
      </c>
      <c r="N59" s="5" t="inlineStr">
        <is>
          <t>740611</t>
        </is>
      </c>
    </row>
    <row r="60" ht="15.75" customHeight="1" s="19">
      <c r="A60" s="3" t="n">
        <v>58</v>
      </c>
      <c r="B60" s="3" t="inlineStr">
        <is>
          <t>Glycolic Acid 70% - High purity grade</t>
        </is>
      </c>
      <c r="C60" s="3" t="inlineStr">
        <is>
          <t>79-14-1</t>
        </is>
      </c>
      <c r="D60" s="3" t="inlineStr">
        <is>
          <t>330499</t>
        </is>
      </c>
      <c r="E60" s="3" t="inlineStr">
        <is>
          <t>Alpha Hydroxy Acid (AHA)</t>
        </is>
      </c>
      <c r="F60" s="3" t="inlineStr">
        <is>
          <t>High</t>
        </is>
      </c>
      <c r="G60" s="3" t="inlineStr">
        <is>
          <t>Chemical peels, exfoliating serums</t>
        </is>
      </c>
      <c r="H60" s="3" t="inlineStr">
        <is>
          <t>Anti-aging treatments</t>
        </is>
      </c>
      <c r="I60" s="3" t="inlineStr">
        <is>
          <t>Active</t>
        </is>
      </c>
      <c r="J60" s="3" t="inlineStr">
        <is>
          <t>Exfoliant / Keratolytic</t>
        </is>
      </c>
      <c r="N60" s="5" t="inlineStr">
        <is>
          <t>810210</t>
        </is>
      </c>
    </row>
    <row r="61" ht="15.75" customHeight="1" s="19">
      <c r="A61" s="3" t="n">
        <v>59</v>
      </c>
      <c r="B61" s="3" t="inlineStr">
        <is>
          <t>2-Methylundecane</t>
        </is>
      </c>
      <c r="C61" s="3" t="inlineStr">
        <is>
          <t>31807-55-3</t>
        </is>
      </c>
      <c r="D61" s="3" t="inlineStr">
        <is>
          <t>330499</t>
        </is>
      </c>
      <c r="E61" s="3" t="inlineStr">
        <is>
          <t>Emollient / Solvent</t>
        </is>
      </c>
      <c r="F61" s="3" t="inlineStr">
        <is>
          <t>Medium</t>
        </is>
      </c>
      <c r="G61" s="3" t="inlineStr">
        <is>
          <t>Dry-touch skin care</t>
        </is>
      </c>
      <c r="H61" s="3" t="inlineStr">
        <is>
          <t>Deodorant formulations</t>
        </is>
      </c>
      <c r="I61" s="3" t="inlineStr">
        <is>
          <t>Bulk</t>
        </is>
      </c>
      <c r="J61" s="3" t="inlineStr">
        <is>
          <t>Hydrocarbon Emollient</t>
        </is>
      </c>
      <c r="N61" s="5" t="inlineStr">
        <is>
          <t>283410</t>
        </is>
      </c>
    </row>
    <row r="62" ht="15.75" customHeight="1" s="19">
      <c r="A62" s="3" t="n">
        <v>60</v>
      </c>
      <c r="B62" s="3" t="inlineStr">
        <is>
          <t>Sodium Monofluorophosphate</t>
        </is>
      </c>
      <c r="C62" s="3" t="inlineStr">
        <is>
          <t>10163-15-2</t>
        </is>
      </c>
      <c r="D62" s="3" t="inlineStr">
        <is>
          <t>330499</t>
        </is>
      </c>
      <c r="E62" s="3" t="inlineStr">
        <is>
          <t>Oral Care Active</t>
        </is>
      </c>
      <c r="F62" s="3" t="inlineStr">
        <is>
          <t>High</t>
        </is>
      </c>
      <c r="G62" s="3" t="inlineStr">
        <is>
          <t>Toothpaste (anti-cavity)</t>
        </is>
      </c>
      <c r="H62" s="3" t="inlineStr">
        <is>
          <t>Dental care formulations</t>
        </is>
      </c>
      <c r="I62" s="3" t="inlineStr">
        <is>
          <t>Active</t>
        </is>
      </c>
      <c r="J62" s="3" t="inlineStr">
        <is>
          <t>Fluoride Active</t>
        </is>
      </c>
      <c r="N62" s="5" t="inlineStr">
        <is>
          <t>800110</t>
        </is>
      </c>
    </row>
    <row r="63" ht="15.75" customHeight="1" s="19">
      <c r="A63" s="3" t="n">
        <v>61</v>
      </c>
      <c r="B63" s="3" t="inlineStr">
        <is>
          <t>Bronopol</t>
        </is>
      </c>
      <c r="C63" s="3" t="inlineStr">
        <is>
          <t>52-51-7</t>
        </is>
      </c>
      <c r="D63" s="3" t="inlineStr">
        <is>
          <t>330499</t>
        </is>
      </c>
      <c r="E63" s="3" t="inlineStr">
        <is>
          <t>Preservative</t>
        </is>
      </c>
      <c r="F63" s="3" t="inlineStr">
        <is>
          <t>High</t>
        </is>
      </c>
      <c r="G63" s="3" t="inlineStr">
        <is>
          <t>Personal care preservation</t>
        </is>
      </c>
      <c r="H63" s="3" t="inlineStr">
        <is>
          <t>Industrial biocide</t>
        </is>
      </c>
      <c r="I63" s="3" t="inlineStr">
        <is>
          <t>Bulk</t>
        </is>
      </c>
      <c r="J63" s="3" t="inlineStr">
        <is>
          <t>Formaldehyde-releasing Preservative</t>
        </is>
      </c>
      <c r="N63" s="5" t="inlineStr">
        <is>
          <t>720510</t>
        </is>
      </c>
    </row>
    <row r="64" ht="15.75" customHeight="1" s="19">
      <c r="A64" s="3" t="n">
        <v>62</v>
      </c>
      <c r="B64" s="3" t="inlineStr">
        <is>
          <t>Sodium Fluoride</t>
        </is>
      </c>
      <c r="C64" s="3" t="inlineStr">
        <is>
          <t>7681-49-4</t>
        </is>
      </c>
      <c r="D64" s="3" t="inlineStr">
        <is>
          <t>330499</t>
        </is>
      </c>
      <c r="E64" s="3" t="inlineStr">
        <is>
          <t>Oral Care Active</t>
        </is>
      </c>
      <c r="F64" s="3" t="inlineStr">
        <is>
          <t>High</t>
        </is>
      </c>
      <c r="G64" s="3" t="inlineStr">
        <is>
          <t>Toothpaste, dental rinses</t>
        </is>
      </c>
      <c r="H64" s="3" t="inlineStr">
        <is>
          <t>Water fluoridation</t>
        </is>
      </c>
      <c r="I64" s="3" t="inlineStr">
        <is>
          <t>Active</t>
        </is>
      </c>
      <c r="J64" s="3" t="inlineStr">
        <is>
          <t>Fluoride Active</t>
        </is>
      </c>
      <c r="N64" s="5" t="inlineStr">
        <is>
          <t>790310</t>
        </is>
      </c>
    </row>
    <row r="65" ht="15.75" customHeight="1" s="19">
      <c r="A65" s="3" t="n">
        <v>63</v>
      </c>
      <c r="B65" s="3" t="inlineStr">
        <is>
          <t>Bronopol(BROMO-2-NITRO-1-3-PROPANEDIOL)</t>
        </is>
      </c>
      <c r="C65" s="3" t="inlineStr">
        <is>
          <t>52-51-7</t>
        </is>
      </c>
      <c r="D65" s="3" t="inlineStr">
        <is>
          <t>330499</t>
        </is>
      </c>
      <c r="E65" s="3" t="inlineStr">
        <is>
          <t>Preservative</t>
        </is>
      </c>
      <c r="F65" s="3" t="inlineStr">
        <is>
          <t>High</t>
        </is>
      </c>
      <c r="G65" s="3" t="inlineStr">
        <is>
          <t>Personal care preservation</t>
        </is>
      </c>
      <c r="H65" s="3" t="inlineStr">
        <is>
          <t>Industrial biocide</t>
        </is>
      </c>
      <c r="I65" s="3" t="inlineStr">
        <is>
          <t>Bulk</t>
        </is>
      </c>
      <c r="J65" s="3" t="inlineStr">
        <is>
          <t>Formaldehyde-releasing Preservative</t>
        </is>
      </c>
    </row>
    <row r="66" ht="15.75" customHeight="1" s="19">
      <c r="A66" s="3" t="n">
        <v>64</v>
      </c>
      <c r="B66" s="3" t="inlineStr">
        <is>
          <t>CSA 20</t>
        </is>
      </c>
      <c r="C66" s="3" t="n"/>
      <c r="D66" s="3" t="inlineStr">
        <is>
          <t>330499</t>
        </is>
      </c>
      <c r="E66" s="3" t="inlineStr">
        <is>
          <t>Specialty Polymer</t>
        </is>
      </c>
      <c r="F66" s="3" t="inlineStr">
        <is>
          <t>Low</t>
        </is>
      </c>
      <c r="G66" s="3" t="inlineStr">
        <is>
          <t>Cosmetic formulations</t>
        </is>
      </c>
      <c r="H66" s="3" t="inlineStr">
        <is>
          <t>Not widely documented</t>
        </is>
      </c>
      <c r="I66" s="3" t="inlineStr">
        <is>
          <t>Bulk</t>
        </is>
      </c>
      <c r="J66" s="3" t="inlineStr">
        <is>
          <t>Specialty Ingredient</t>
        </is>
      </c>
    </row>
    <row r="67" ht="15.75" customHeight="1" s="19">
      <c r="A67" s="3" t="n">
        <v>65</v>
      </c>
      <c r="B67" s="3" t="inlineStr">
        <is>
          <t>Eucalyptus Oil 60%</t>
        </is>
      </c>
      <c r="C67" s="3" t="inlineStr">
        <is>
          <t>8000-48-4</t>
        </is>
      </c>
      <c r="D67" s="3" t="inlineStr">
        <is>
          <t>330129</t>
        </is>
      </c>
      <c r="E67" s="3" t="inlineStr">
        <is>
          <t>Essential Oil</t>
        </is>
      </c>
      <c r="F67" s="3" t="inlineStr">
        <is>
          <t>High</t>
        </is>
      </c>
      <c r="G67" s="3" t="inlineStr">
        <is>
          <t>Aromatherapy, respiratory care</t>
        </is>
      </c>
      <c r="H67" s="3" t="inlineStr">
        <is>
          <t>Oral care, insect repellent</t>
        </is>
      </c>
      <c r="I67" s="3" t="inlineStr">
        <is>
          <t>Bulk</t>
        </is>
      </c>
      <c r="J67" s="3" t="inlineStr">
        <is>
          <t>Essential Oil</t>
        </is>
      </c>
    </row>
    <row r="68" ht="15.75" customHeight="1" s="19">
      <c r="A68" s="3" t="n">
        <v>66</v>
      </c>
      <c r="B68" s="3" t="inlineStr">
        <is>
          <t>Copper dihydroxide</t>
        </is>
      </c>
      <c r="C68" s="3" t="inlineStr">
        <is>
          <t>20427-59-2</t>
        </is>
      </c>
      <c r="D68" s="3" t="inlineStr">
        <is>
          <t>340290</t>
        </is>
      </c>
      <c r="E68" s="3" t="inlineStr">
        <is>
          <t>Antimicrobial / Colorant</t>
        </is>
      </c>
      <c r="F68" s="3" t="inlineStr">
        <is>
          <t>Medium</t>
        </is>
      </c>
      <c r="G68" s="3" t="inlineStr">
        <is>
          <t>Agrochemical (fungicide)</t>
        </is>
      </c>
      <c r="H68" s="3" t="inlineStr">
        <is>
          <t>Cosmetic pigment applications</t>
        </is>
      </c>
      <c r="I68" s="3" t="inlineStr">
        <is>
          <t>Active</t>
        </is>
      </c>
      <c r="J68" s="3" t="inlineStr">
        <is>
          <t>Inorganic Antimicrobial</t>
        </is>
      </c>
    </row>
    <row r="69" ht="15.75" customHeight="1" s="19">
      <c r="A69" s="3" t="n">
        <v>67</v>
      </c>
      <c r="B69" s="3" t="inlineStr">
        <is>
          <t>Dimethyl Isosorbide</t>
        </is>
      </c>
      <c r="C69" s="3" t="inlineStr">
        <is>
          <t>5306-85-4</t>
        </is>
      </c>
      <c r="D69" s="3" t="inlineStr">
        <is>
          <t>330499</t>
        </is>
      </c>
      <c r="E69" s="3" t="inlineStr">
        <is>
          <t>Solvent / Penetration Enhancer</t>
        </is>
      </c>
      <c r="F69" s="3" t="inlineStr">
        <is>
          <t>High</t>
        </is>
      </c>
      <c r="G69" s="3" t="inlineStr">
        <is>
          <t>Serum delivery systems</t>
        </is>
      </c>
      <c r="H69" s="3" t="inlineStr">
        <is>
          <t>Solubilizing difficult actives</t>
        </is>
      </c>
      <c r="I69" s="3" t="inlineStr">
        <is>
          <t>Active</t>
        </is>
      </c>
      <c r="J69" s="3" t="inlineStr">
        <is>
          <t>Penetration Enhancer</t>
        </is>
      </c>
    </row>
    <row r="70" ht="15.75" customHeight="1" s="19">
      <c r="A70" s="3" t="n">
        <v>68</v>
      </c>
      <c r="B70" s="3" t="inlineStr">
        <is>
          <t>Heptyl Undecylenate</t>
        </is>
      </c>
      <c r="C70" s="3" t="inlineStr">
        <is>
          <t>68155-68-0</t>
        </is>
      </c>
      <c r="D70" s="3" t="inlineStr">
        <is>
          <t>330499</t>
        </is>
      </c>
      <c r="E70" s="3" t="inlineStr">
        <is>
          <t>Antimicrobial Ester</t>
        </is>
      </c>
      <c r="F70" s="3" t="inlineStr">
        <is>
          <t>High</t>
        </is>
      </c>
      <c r="G70" s="3" t="inlineStr">
        <is>
          <t>Preservative booster in cosmetics</t>
        </is>
      </c>
      <c r="H70" s="3" t="inlineStr">
        <is>
          <t>Anti-acne formulations</t>
        </is>
      </c>
      <c r="I70" s="3" t="inlineStr">
        <is>
          <t>Active</t>
        </is>
      </c>
      <c r="J70" s="3" t="inlineStr">
        <is>
          <t>Antimicrobial Lipid</t>
        </is>
      </c>
    </row>
    <row r="71" ht="15.75" customHeight="1" s="19">
      <c r="A71" s="3" t="n">
        <v>69</v>
      </c>
      <c r="B71" s="3" t="inlineStr">
        <is>
          <t>Trisodium Ascorbyl Phosphate</t>
        </is>
      </c>
      <c r="C71" s="3" t="inlineStr">
        <is>
          <t>66170-10-3</t>
        </is>
      </c>
      <c r="D71" s="3" t="inlineStr">
        <is>
          <t>330499</t>
        </is>
      </c>
      <c r="E71" s="3" t="inlineStr">
        <is>
          <t>Vitamin C Derivative</t>
        </is>
      </c>
      <c r="F71" s="3" t="inlineStr">
        <is>
          <t>High</t>
        </is>
      </c>
      <c r="G71" s="3" t="inlineStr">
        <is>
          <t>Brightening serums, anti-aging</t>
        </is>
      </c>
      <c r="H71" s="3" t="inlineStr">
        <is>
          <t>Anti-oxidant formulations</t>
        </is>
      </c>
      <c r="I71" s="3" t="inlineStr">
        <is>
          <t>Active</t>
        </is>
      </c>
      <c r="J71" s="3" t="inlineStr">
        <is>
          <t>Antioxidant / Brightening</t>
        </is>
      </c>
    </row>
    <row r="72" ht="15.75" customHeight="1" s="19">
      <c r="A72" s="3" t="n">
        <v>70</v>
      </c>
      <c r="B72" s="3" t="inlineStr">
        <is>
          <t>Octyl Methoxycinnamate (OMCX)</t>
        </is>
      </c>
      <c r="C72" s="3" t="inlineStr">
        <is>
          <t>5466-77-3</t>
        </is>
      </c>
      <c r="D72" s="3" t="inlineStr">
        <is>
          <t>330499</t>
        </is>
      </c>
      <c r="E72" s="3" t="inlineStr">
        <is>
          <t>UV Filter</t>
        </is>
      </c>
      <c r="F72" s="3" t="inlineStr">
        <is>
          <t>High</t>
        </is>
      </c>
      <c r="G72" s="3" t="inlineStr">
        <is>
          <t>Sunscreens (UVB protection)</t>
        </is>
      </c>
      <c r="H72" s="3" t="inlineStr">
        <is>
          <t>Lip care, hair care with UV</t>
        </is>
      </c>
      <c r="I72" s="3" t="inlineStr">
        <is>
          <t>Active</t>
        </is>
      </c>
      <c r="J72" s="3" t="inlineStr">
        <is>
          <t>Organic UV Filter</t>
        </is>
      </c>
    </row>
    <row r="73" ht="15.75" customHeight="1" s="19">
      <c r="A73" s="3" t="n">
        <v>71</v>
      </c>
      <c r="B73" s="3" t="inlineStr">
        <is>
          <t>Strontium Acetate</t>
        </is>
      </c>
      <c r="C73" s="3" t="inlineStr">
        <is>
          <t>14692-29-6</t>
        </is>
      </c>
      <c r="D73" s="3" t="inlineStr">
        <is>
          <t>330499</t>
        </is>
      </c>
      <c r="E73" s="3" t="inlineStr">
        <is>
          <t>Oral / Skin Active</t>
        </is>
      </c>
      <c r="F73" s="3" t="inlineStr">
        <is>
          <t>Medium</t>
        </is>
      </c>
      <c r="G73" s="3" t="inlineStr">
        <is>
          <t>Sensitive teeth toothpaste</t>
        </is>
      </c>
      <c r="H73" s="3" t="inlineStr">
        <is>
          <t>Anti-itch skin formulations</t>
        </is>
      </c>
      <c r="I73" s="3" t="inlineStr">
        <is>
          <t>Active</t>
        </is>
      </c>
      <c r="J73" s="3" t="inlineStr">
        <is>
          <t>Desensitizing Agent</t>
        </is>
      </c>
    </row>
    <row r="74" ht="15.75" customHeight="1" s="19">
      <c r="A74" s="3" t="n">
        <v>72</v>
      </c>
      <c r="B74" s="3" t="inlineStr">
        <is>
          <t>4  Methoxy Salicylic Acid</t>
        </is>
      </c>
      <c r="C74" s="3" t="inlineStr">
        <is>
          <t>2237-36-7</t>
        </is>
      </c>
      <c r="D74" s="3" t="inlineStr">
        <is>
          <t>330499</t>
        </is>
      </c>
      <c r="E74" s="3" t="inlineStr">
        <is>
          <t>Skin Lightening Agent</t>
        </is>
      </c>
      <c r="F74" s="3" t="inlineStr">
        <is>
          <t>High</t>
        </is>
      </c>
      <c r="G74" s="3" t="inlineStr">
        <is>
          <t>Depigmentation serums</t>
        </is>
      </c>
      <c r="H74" s="3" t="inlineStr">
        <is>
          <t>Anti-spot treatments</t>
        </is>
      </c>
      <c r="I74" s="3" t="inlineStr">
        <is>
          <t>Active</t>
        </is>
      </c>
      <c r="J74" s="3" t="inlineStr">
        <is>
          <t>Tyrosinase Inhibitor</t>
        </is>
      </c>
    </row>
    <row r="75" ht="15.75" customHeight="1" s="19">
      <c r="A75" s="3" t="n">
        <v>73</v>
      </c>
      <c r="B75" s="3" t="inlineStr">
        <is>
          <t>Latic Acid</t>
        </is>
      </c>
      <c r="C75" s="3" t="inlineStr">
        <is>
          <t>79-33-4</t>
        </is>
      </c>
      <c r="D75" s="3" t="inlineStr">
        <is>
          <t>330499</t>
        </is>
      </c>
      <c r="E75" s="3" t="inlineStr">
        <is>
          <t>Alpha Hydroxy Acid (AHA)</t>
        </is>
      </c>
      <c r="F75" s="3" t="inlineStr">
        <is>
          <t>High</t>
        </is>
      </c>
      <c r="G75" s="3" t="inlineStr">
        <is>
          <t>Chemical peels, moisturizers</t>
        </is>
      </c>
      <c r="H75" s="3" t="inlineStr">
        <is>
          <t>pH adjustment, exfoliation</t>
        </is>
      </c>
      <c r="I75" s="3" t="inlineStr">
        <is>
          <t>Active</t>
        </is>
      </c>
      <c r="J75" s="3" t="inlineStr">
        <is>
          <t>Exfoliant / Humectant</t>
        </is>
      </c>
    </row>
    <row r="76" ht="15.75" customHeight="1" s="19">
      <c r="A76" s="3" t="n">
        <v>74</v>
      </c>
      <c r="B76" s="3" t="inlineStr">
        <is>
          <t>Capryl Hydroxamic Acid</t>
        </is>
      </c>
      <c r="C76" s="3" t="inlineStr">
        <is>
          <t>7377-03-9</t>
        </is>
      </c>
      <c r="D76" s="3" t="inlineStr">
        <is>
          <t>330499</t>
        </is>
      </c>
      <c r="E76" s="3" t="inlineStr">
        <is>
          <t>Preservative Booster / Chelator</t>
        </is>
      </c>
      <c r="F76" s="3" t="inlineStr">
        <is>
          <t>High</t>
        </is>
      </c>
      <c r="G76" s="3" t="inlineStr">
        <is>
          <t>Preservative systems</t>
        </is>
      </c>
      <c r="H76" s="3" t="inlineStr">
        <is>
          <t>Metal ion chelation</t>
        </is>
      </c>
      <c r="I76" s="3" t="inlineStr">
        <is>
          <t>Active</t>
        </is>
      </c>
      <c r="J76" s="3" t="inlineStr">
        <is>
          <t>Chelating Preservative Booster</t>
        </is>
      </c>
    </row>
    <row r="77" ht="15.75" customHeight="1" s="19">
      <c r="A77" s="3" t="n">
        <v>75</v>
      </c>
      <c r="B77" s="3" t="inlineStr">
        <is>
          <t>Acrylic Acid Homopolymer 10%</t>
        </is>
      </c>
      <c r="C77" s="3" t="n"/>
      <c r="D77" s="3" t="inlineStr">
        <is>
          <t>330499</t>
        </is>
      </c>
      <c r="E77" s="3" t="inlineStr">
        <is>
          <t>Thickener / Rheology Modifier</t>
        </is>
      </c>
      <c r="F77" s="3" t="inlineStr">
        <is>
          <t>High</t>
        </is>
      </c>
      <c r="G77" s="3" t="inlineStr">
        <is>
          <t>Gels, lotions, creams</t>
        </is>
      </c>
      <c r="H77" s="3" t="inlineStr">
        <is>
          <t>Adhesive applications</t>
        </is>
      </c>
      <c r="I77" s="3" t="inlineStr">
        <is>
          <t>Bulk</t>
        </is>
      </c>
      <c r="J77" s="3" t="inlineStr">
        <is>
          <t>Carbomer / Rheology Modifier</t>
        </is>
      </c>
    </row>
    <row r="78" ht="15.75" customHeight="1" s="19">
      <c r="A78" s="3" t="n">
        <v>76</v>
      </c>
      <c r="B78" s="3" t="inlineStr">
        <is>
          <t>Dibutyl adipate</t>
        </is>
      </c>
      <c r="C78" s="3" t="inlineStr">
        <is>
          <t>105-99-7</t>
        </is>
      </c>
      <c r="D78" s="3" t="inlineStr">
        <is>
          <t>330499</t>
        </is>
      </c>
      <c r="E78" s="3" t="inlineStr">
        <is>
          <t>Emollient / Plasticizer</t>
        </is>
      </c>
      <c r="F78" s="3" t="inlineStr">
        <is>
          <t>High</t>
        </is>
      </c>
      <c r="G78" s="3" t="inlineStr">
        <is>
          <t>Skin care, nail polish</t>
        </is>
      </c>
      <c r="H78" s="3" t="inlineStr">
        <is>
          <t>Coatings, plastics</t>
        </is>
      </c>
      <c r="I78" s="3" t="inlineStr">
        <is>
          <t>Bulk</t>
        </is>
      </c>
      <c r="J78" s="3" t="inlineStr">
        <is>
          <t>Emollient Ester</t>
        </is>
      </c>
    </row>
    <row r="79" ht="15.75" customHeight="1" s="19">
      <c r="A79" s="3" t="n">
        <v>77</v>
      </c>
      <c r="B79" s="3" t="inlineStr">
        <is>
          <t>Dehydroacetic Acid</t>
        </is>
      </c>
      <c r="C79" s="3" t="inlineStr">
        <is>
          <t>520-45-6</t>
        </is>
      </c>
      <c r="D79" s="3" t="inlineStr">
        <is>
          <t>330499</t>
        </is>
      </c>
      <c r="E79" s="3" t="inlineStr">
        <is>
          <t>Preservative</t>
        </is>
      </c>
      <c r="F79" s="3" t="inlineStr">
        <is>
          <t>High</t>
        </is>
      </c>
      <c r="G79" s="3" t="inlineStr">
        <is>
          <t>Cosmetic preservation</t>
        </is>
      </c>
      <c r="H79" s="3" t="inlineStr">
        <is>
          <t>Food preservation</t>
        </is>
      </c>
      <c r="I79" s="3" t="inlineStr">
        <is>
          <t>Bulk</t>
        </is>
      </c>
      <c r="J79" s="3" t="inlineStr">
        <is>
          <t>Organic Acid Preservative</t>
        </is>
      </c>
    </row>
    <row r="80" ht="15.75" customHeight="1" s="19">
      <c r="A80" s="3" t="n">
        <v>78</v>
      </c>
      <c r="B80" s="3" t="inlineStr">
        <is>
          <t>Lauroyl Lysine</t>
        </is>
      </c>
      <c r="C80" s="3" t="inlineStr">
        <is>
          <t>52315-75-0</t>
        </is>
      </c>
      <c r="D80" s="3" t="inlineStr">
        <is>
          <t>330499</t>
        </is>
      </c>
      <c r="E80" s="3" t="inlineStr">
        <is>
          <t>Skin / Hair Conditioning Agent</t>
        </is>
      </c>
      <c r="F80" s="3" t="inlineStr">
        <is>
          <t>High</t>
        </is>
      </c>
      <c r="G80" s="3" t="inlineStr">
        <is>
          <t>Powder cosmetics, foundations</t>
        </is>
      </c>
      <c r="H80" s="3" t="inlineStr">
        <is>
          <t>Hair conditioning treatments</t>
        </is>
      </c>
      <c r="I80" s="3" t="inlineStr">
        <is>
          <t>Active</t>
        </is>
      </c>
      <c r="J80" s="3" t="inlineStr">
        <is>
          <t>Amino Acid Derivative</t>
        </is>
      </c>
    </row>
    <row r="81" ht="15.75" customHeight="1" s="19">
      <c r="A81" s="3" t="n">
        <v>79</v>
      </c>
      <c r="B81" s="3" t="inlineStr">
        <is>
          <t>Dipalmitoyl Hydroxyproline</t>
        </is>
      </c>
      <c r="C81" s="3" t="inlineStr">
        <is>
          <t>41672-81-5</t>
        </is>
      </c>
      <c r="D81" s="3" t="inlineStr">
        <is>
          <t>330499</t>
        </is>
      </c>
      <c r="E81" s="3" t="inlineStr">
        <is>
          <t>Anti-aging Active</t>
        </is>
      </c>
      <c r="F81" s="3" t="inlineStr">
        <is>
          <t>High</t>
        </is>
      </c>
      <c r="G81" s="3" t="inlineStr">
        <is>
          <t>Anti-wrinkle creams</t>
        </is>
      </c>
      <c r="H81" s="3" t="inlineStr">
        <is>
          <t>Collagen-boosting serums</t>
        </is>
      </c>
      <c r="I81" s="3" t="inlineStr">
        <is>
          <t>Active</t>
        </is>
      </c>
      <c r="J81" s="3" t="inlineStr">
        <is>
          <t>Peptide / Amino Acid Active</t>
        </is>
      </c>
    </row>
    <row r="82" ht="15.75" customHeight="1" s="19">
      <c r="A82" s="3" t="n">
        <v>80</v>
      </c>
      <c r="B82" s="3" t="inlineStr">
        <is>
          <t>Hexyl Laurate</t>
        </is>
      </c>
      <c r="C82" s="3" t="inlineStr">
        <is>
          <t>34316-64-8</t>
        </is>
      </c>
      <c r="D82" s="3" t="inlineStr">
        <is>
          <t>330499</t>
        </is>
      </c>
      <c r="E82" s="3" t="inlineStr">
        <is>
          <t>Emollient Ester</t>
        </is>
      </c>
      <c r="F82" s="3" t="inlineStr">
        <is>
          <t>High</t>
        </is>
      </c>
      <c r="G82" s="3" t="inlineStr">
        <is>
          <t>Lightweight moisturizers</t>
        </is>
      </c>
      <c r="H82" s="3" t="inlineStr">
        <is>
          <t>Color cosmetics, sun care</t>
        </is>
      </c>
      <c r="I82" s="3" t="inlineStr">
        <is>
          <t>Bulk</t>
        </is>
      </c>
      <c r="J82" s="3" t="inlineStr">
        <is>
          <t>Emollient Ester</t>
        </is>
      </c>
    </row>
    <row r="83" ht="15.75" customHeight="1" s="19">
      <c r="A83" s="3" t="n">
        <v>81</v>
      </c>
      <c r="B83" s="3" t="inlineStr">
        <is>
          <t>Oleth-30</t>
        </is>
      </c>
      <c r="C83" s="3" t="inlineStr">
        <is>
          <t>9004-98-2</t>
        </is>
      </c>
      <c r="D83" s="3" t="inlineStr">
        <is>
          <t>330499</t>
        </is>
      </c>
      <c r="E83" s="3" t="inlineStr">
        <is>
          <t>Emulsifier</t>
        </is>
      </c>
      <c r="F83" s="3" t="inlineStr">
        <is>
          <t>High</t>
        </is>
      </c>
      <c r="G83" s="3" t="inlineStr">
        <is>
          <t>Oil-in-water emulsions</t>
        </is>
      </c>
      <c r="H83" s="3" t="inlineStr">
        <is>
          <t>Solubilizer for fragrances</t>
        </is>
      </c>
      <c r="I83" s="3" t="inlineStr">
        <is>
          <t>Bulk</t>
        </is>
      </c>
      <c r="J83" s="3" t="inlineStr">
        <is>
          <t>Nonionic Emulsifier</t>
        </is>
      </c>
    </row>
    <row r="84" ht="15.75" customHeight="1" s="19">
      <c r="A84" s="3" t="n">
        <v>82</v>
      </c>
      <c r="B84" s="3" t="inlineStr">
        <is>
          <t>Beheneth-10</t>
        </is>
      </c>
      <c r="C84" s="3" t="inlineStr">
        <is>
          <t>26636-40-8</t>
        </is>
      </c>
      <c r="D84" s="3" t="inlineStr">
        <is>
          <t>330499</t>
        </is>
      </c>
      <c r="E84" s="3" t="inlineStr">
        <is>
          <t>Emulsifier</t>
        </is>
      </c>
      <c r="F84" s="3" t="inlineStr">
        <is>
          <t>High</t>
        </is>
      </c>
      <c r="G84" s="3" t="inlineStr">
        <is>
          <t>Creams and lotions</t>
        </is>
      </c>
      <c r="H84" s="3" t="inlineStr">
        <is>
          <t>Hair conditioners</t>
        </is>
      </c>
      <c r="I84" s="3" t="inlineStr">
        <is>
          <t>Bulk</t>
        </is>
      </c>
      <c r="J84" s="3" t="inlineStr">
        <is>
          <t>Nonionic Emulsifier</t>
        </is>
      </c>
    </row>
    <row r="85" ht="15.75" customHeight="1" s="19">
      <c r="A85" s="3" t="n">
        <v>83</v>
      </c>
      <c r="B85" s="3" t="inlineStr">
        <is>
          <t>Beheneth-25</t>
        </is>
      </c>
      <c r="C85" s="3" t="inlineStr">
        <is>
          <t>26636-40-0</t>
        </is>
      </c>
      <c r="D85" s="3" t="inlineStr">
        <is>
          <t>330499</t>
        </is>
      </c>
      <c r="E85" s="3" t="inlineStr">
        <is>
          <t>Emulsifier</t>
        </is>
      </c>
      <c r="F85" s="3" t="inlineStr">
        <is>
          <t>High</t>
        </is>
      </c>
      <c r="G85" s="3" t="inlineStr">
        <is>
          <t>Creams and lotions</t>
        </is>
      </c>
      <c r="H85" s="3" t="inlineStr">
        <is>
          <t>Skin care emulsions</t>
        </is>
      </c>
      <c r="I85" s="3" t="inlineStr">
        <is>
          <t>Bulk</t>
        </is>
      </c>
      <c r="J85" s="3" t="inlineStr">
        <is>
          <t>Nonionic Emulsifier</t>
        </is>
      </c>
    </row>
    <row r="86" ht="15.75" customHeight="1" s="19">
      <c r="A86" s="3" t="n">
        <v>84</v>
      </c>
      <c r="B86" s="3" t="inlineStr">
        <is>
          <t>Ethylhexyl Isononanoate</t>
        </is>
      </c>
      <c r="C86" s="3" t="inlineStr">
        <is>
          <t>59219-71-5</t>
        </is>
      </c>
      <c r="D86" s="3" t="inlineStr">
        <is>
          <t>330499</t>
        </is>
      </c>
      <c r="E86" s="3" t="inlineStr">
        <is>
          <t>Emollient Ester</t>
        </is>
      </c>
      <c r="F86" s="3" t="inlineStr">
        <is>
          <t>High</t>
        </is>
      </c>
      <c r="G86" s="3" t="inlineStr">
        <is>
          <t>Sun care, skin care</t>
        </is>
      </c>
      <c r="H86" s="3" t="inlineStr">
        <is>
          <t>Color cosmetics</t>
        </is>
      </c>
      <c r="I86" s="3" t="inlineStr">
        <is>
          <t>Bulk</t>
        </is>
      </c>
      <c r="J86" s="3" t="inlineStr">
        <is>
          <t>Emollient Ester</t>
        </is>
      </c>
    </row>
    <row r="87" ht="15.75" customHeight="1" s="19">
      <c r="A87" s="3" t="n">
        <v>85</v>
      </c>
      <c r="B87" s="3" t="inlineStr">
        <is>
          <t>Undecylenoyl Glycine</t>
        </is>
      </c>
      <c r="C87" s="3" t="inlineStr">
        <is>
          <t>54301-26-7</t>
        </is>
      </c>
      <c r="D87" s="3" t="inlineStr">
        <is>
          <t>330499</t>
        </is>
      </c>
      <c r="E87" s="3" t="inlineStr">
        <is>
          <t>Antimicrobial / Sebum Control</t>
        </is>
      </c>
      <c r="F87" s="3" t="inlineStr">
        <is>
          <t>High</t>
        </is>
      </c>
      <c r="G87" s="3" t="inlineStr">
        <is>
          <t>Anti-acne formulations</t>
        </is>
      </c>
      <c r="H87" s="3" t="inlineStr">
        <is>
          <t>Deodorants, scalp care</t>
        </is>
      </c>
      <c r="I87" s="3" t="inlineStr">
        <is>
          <t>Active</t>
        </is>
      </c>
      <c r="J87" s="3" t="inlineStr">
        <is>
          <t>Amino Acid Antimicrobial</t>
        </is>
      </c>
    </row>
    <row r="88" ht="15.75" customHeight="1" s="19">
      <c r="A88" s="3" t="n">
        <v>86</v>
      </c>
      <c r="B88" s="3" t="inlineStr">
        <is>
          <t>Capryloyl Glycine</t>
        </is>
      </c>
      <c r="C88" s="3" t="inlineStr">
        <is>
          <t>14246-53-8</t>
        </is>
      </c>
      <c r="D88" s="3" t="inlineStr">
        <is>
          <t>330499</t>
        </is>
      </c>
      <c r="E88" s="3" t="inlineStr">
        <is>
          <t>Sebum Control / Antimicrobial</t>
        </is>
      </c>
      <c r="F88" s="3" t="inlineStr">
        <is>
          <t>High</t>
        </is>
      </c>
      <c r="G88" s="3" t="inlineStr">
        <is>
          <t>Oily skin care, anti-acne</t>
        </is>
      </c>
      <c r="H88" s="3" t="inlineStr">
        <is>
          <t>Deodorants</t>
        </is>
      </c>
      <c r="I88" s="3" t="inlineStr">
        <is>
          <t>Active</t>
        </is>
      </c>
      <c r="J88" s="3" t="inlineStr">
        <is>
          <t>Amino Acid Antimicrobial</t>
        </is>
      </c>
    </row>
    <row r="89" ht="15.75" customHeight="1" s="19">
      <c r="A89" s="3" t="n">
        <v>87</v>
      </c>
      <c r="B89" s="3" t="inlineStr">
        <is>
          <t>MIT / CMIT + MG Salt</t>
        </is>
      </c>
      <c r="C89" s="3" t="inlineStr">
        <is>
          <t>55965-84-9</t>
        </is>
      </c>
      <c r="D89" s="3" t="inlineStr">
        <is>
          <t>330499</t>
        </is>
      </c>
      <c r="E89" s="3" t="inlineStr">
        <is>
          <t>Preservative</t>
        </is>
      </c>
      <c r="F89" s="3" t="inlineStr">
        <is>
          <t>High</t>
        </is>
      </c>
      <c r="G89" s="3" t="inlineStr">
        <is>
          <t>Rinse-off products, shampoos</t>
        </is>
      </c>
      <c r="H89" s="3" t="inlineStr">
        <is>
          <t>Industrial water treatment</t>
        </is>
      </c>
      <c r="I89" s="3" t="inlineStr">
        <is>
          <t>Bulk</t>
        </is>
      </c>
      <c r="J89" s="3" t="inlineStr">
        <is>
          <t>Isothiazolinone Preservative</t>
        </is>
      </c>
    </row>
    <row r="90" ht="15.75" customHeight="1" s="19">
      <c r="A90" s="3" t="n">
        <v>88</v>
      </c>
      <c r="B90" s="3" t="inlineStr">
        <is>
          <t>Ethylparaben</t>
        </is>
      </c>
      <c r="C90" s="3" t="inlineStr">
        <is>
          <t>120-47-8</t>
        </is>
      </c>
      <c r="D90" s="3" t="inlineStr">
        <is>
          <t>330499</t>
        </is>
      </c>
      <c r="E90" s="3" t="inlineStr">
        <is>
          <t>Preservative</t>
        </is>
      </c>
      <c r="F90" s="3" t="inlineStr">
        <is>
          <t>High</t>
        </is>
      </c>
      <c r="G90" s="3" t="inlineStr">
        <is>
          <t>Cosmetics, personal care</t>
        </is>
      </c>
      <c r="H90" s="3" t="inlineStr">
        <is>
          <t>Food, pharmaceutical</t>
        </is>
      </c>
      <c r="I90" s="3" t="inlineStr">
        <is>
          <t>Bulk</t>
        </is>
      </c>
      <c r="J90" s="3" t="inlineStr">
        <is>
          <t>Paraben Preservative</t>
        </is>
      </c>
    </row>
    <row r="91" ht="15.75" customHeight="1" s="19">
      <c r="A91" s="3" t="n">
        <v>89</v>
      </c>
      <c r="B91" s="3" t="inlineStr">
        <is>
          <t>Iso Amyl Laurate</t>
        </is>
      </c>
      <c r="C91" s="3" t="inlineStr">
        <is>
          <t>6309-51-9</t>
        </is>
      </c>
      <c r="D91" s="3" t="inlineStr">
        <is>
          <t>330499</t>
        </is>
      </c>
      <c r="E91" s="3" t="inlineStr">
        <is>
          <t>Emollient Ester</t>
        </is>
      </c>
      <c r="F91" s="3" t="inlineStr">
        <is>
          <t>High</t>
        </is>
      </c>
      <c r="G91" s="3" t="inlineStr">
        <is>
          <t>Lightweight moisturizers, makeup</t>
        </is>
      </c>
      <c r="H91" s="3" t="inlineStr">
        <is>
          <t>Sun care formulations</t>
        </is>
      </c>
      <c r="I91" s="3" t="inlineStr">
        <is>
          <t>Bulk</t>
        </is>
      </c>
      <c r="J91" s="3" t="inlineStr">
        <is>
          <t>Emollient Ester</t>
        </is>
      </c>
    </row>
    <row r="92" ht="15.75" customHeight="1" s="19">
      <c r="A92" s="3" t="n">
        <v>90</v>
      </c>
      <c r="B92" s="3" t="inlineStr">
        <is>
          <t>Potassium Azeloyl Diglycinate</t>
        </is>
      </c>
      <c r="C92" s="3" t="inlineStr">
        <is>
          <t>477773-67-4</t>
        </is>
      </c>
      <c r="D92" s="3" t="inlineStr">
        <is>
          <t>330499</t>
        </is>
      </c>
      <c r="E92" s="3" t="inlineStr">
        <is>
          <t>Skin Brightening Active</t>
        </is>
      </c>
      <c r="F92" s="3" t="inlineStr">
        <is>
          <t>High</t>
        </is>
      </c>
      <c r="G92" s="3" t="inlineStr">
        <is>
          <t>Brightening serums, anti-pigmentation</t>
        </is>
      </c>
      <c r="H92" s="3" t="inlineStr">
        <is>
          <t>Anti-acne treatments</t>
        </is>
      </c>
      <c r="I92" s="3" t="inlineStr">
        <is>
          <t>Active</t>
        </is>
      </c>
      <c r="J92" s="3" t="inlineStr">
        <is>
          <t>Azelaic Acid Derivative</t>
        </is>
      </c>
    </row>
    <row r="93" ht="15.75" customHeight="1" s="19">
      <c r="A93" s="3" t="n">
        <v>91</v>
      </c>
      <c r="B93" s="3" t="inlineStr">
        <is>
          <t>Diisopropyl Adipate</t>
        </is>
      </c>
      <c r="C93" s="3" t="inlineStr">
        <is>
          <t>6938-94-9</t>
        </is>
      </c>
      <c r="D93" s="3" t="inlineStr">
        <is>
          <t>330499</t>
        </is>
      </c>
      <c r="E93" s="3" t="inlineStr">
        <is>
          <t>Emollient Ester</t>
        </is>
      </c>
      <c r="F93" s="3" t="inlineStr">
        <is>
          <t>High</t>
        </is>
      </c>
      <c r="G93" s="3" t="inlineStr">
        <is>
          <t>Skin care, sun care</t>
        </is>
      </c>
      <c r="H93" s="3" t="inlineStr">
        <is>
          <t>Color cosmetics</t>
        </is>
      </c>
      <c r="I93" s="3" t="inlineStr">
        <is>
          <t>Bulk</t>
        </is>
      </c>
      <c r="J93" s="3" t="inlineStr">
        <is>
          <t>Emollient Ester</t>
        </is>
      </c>
    </row>
    <row r="94" ht="15.75" customHeight="1" s="19">
      <c r="A94" s="3" t="n">
        <v>92</v>
      </c>
      <c r="B94" s="3" t="inlineStr">
        <is>
          <t>Diisopropyl Sebacate</t>
        </is>
      </c>
      <c r="C94" s="3" t="inlineStr">
        <is>
          <t>7491-02-0</t>
        </is>
      </c>
      <c r="D94" s="3" t="n"/>
      <c r="E94" s="3" t="inlineStr">
        <is>
          <t>Emollient Ester</t>
        </is>
      </c>
      <c r="F94" s="3" t="inlineStr">
        <is>
          <t>High</t>
        </is>
      </c>
      <c r="G94" s="3" t="inlineStr">
        <is>
          <t>Dry skin formulations</t>
        </is>
      </c>
      <c r="H94" s="3" t="inlineStr">
        <is>
          <t>Sun care, massage oils</t>
        </is>
      </c>
      <c r="I94" s="3" t="inlineStr">
        <is>
          <t>Bulk</t>
        </is>
      </c>
      <c r="J94" s="3" t="inlineStr">
        <is>
          <t>Emollient Ester</t>
        </is>
      </c>
    </row>
    <row r="95" ht="15.75" customHeight="1" s="19">
      <c r="A95" s="3" t="n">
        <v>93</v>
      </c>
      <c r="B95" s="3" t="inlineStr">
        <is>
          <t>Capryloyl Salicylic Acid</t>
        </is>
      </c>
      <c r="C95" s="3" t="inlineStr">
        <is>
          <t>78418-01-0</t>
        </is>
      </c>
      <c r="D95" s="3" t="inlineStr">
        <is>
          <t>330499</t>
        </is>
      </c>
      <c r="E95" s="3" t="inlineStr">
        <is>
          <t>Exfoliant / Anti-acne</t>
        </is>
      </c>
      <c r="F95" s="3" t="inlineStr">
        <is>
          <t>High</t>
        </is>
      </c>
      <c r="G95" s="3" t="inlineStr">
        <is>
          <t>Anti-acne serums, peel products</t>
        </is>
      </c>
      <c r="H95" s="3" t="inlineStr">
        <is>
          <t>Pore-refining treatments</t>
        </is>
      </c>
      <c r="I95" s="3" t="inlineStr">
        <is>
          <t>Active</t>
        </is>
      </c>
      <c r="J95" s="3" t="inlineStr">
        <is>
          <t>Lipophilic BHA Derivative</t>
        </is>
      </c>
    </row>
    <row r="96" ht="15.75" customHeight="1" s="19">
      <c r="A96" s="3" t="n">
        <v>94</v>
      </c>
      <c r="B96" s="3" t="inlineStr">
        <is>
          <t>Propanediol Dicaprylate</t>
        </is>
      </c>
      <c r="C96" s="3" t="inlineStr">
        <is>
          <t>84540-10-3</t>
        </is>
      </c>
      <c r="D96" s="3" t="inlineStr">
        <is>
          <t>330499</t>
        </is>
      </c>
      <c r="E96" s="3" t="inlineStr">
        <is>
          <t>Emollient Ester</t>
        </is>
      </c>
      <c r="F96" s="3" t="inlineStr">
        <is>
          <t>High</t>
        </is>
      </c>
      <c r="G96" s="3" t="inlineStr">
        <is>
          <t>Lightweight skin care</t>
        </is>
      </c>
      <c r="H96" s="3" t="inlineStr">
        <is>
          <t>Sun care, primers</t>
        </is>
      </c>
      <c r="I96" s="3" t="inlineStr">
        <is>
          <t>Bulk</t>
        </is>
      </c>
      <c r="J96" s="3" t="inlineStr">
        <is>
          <t>Emollient Ester</t>
        </is>
      </c>
    </row>
    <row r="97" ht="15.75" customHeight="1" s="19">
      <c r="A97" s="3" t="n">
        <v>95</v>
      </c>
      <c r="B97" s="3" t="inlineStr">
        <is>
          <t>Sunscreen SPF 50+</t>
        </is>
      </c>
      <c r="C97" s="3" t="n"/>
      <c r="D97" s="3" t="inlineStr">
        <is>
          <t>330499</t>
        </is>
      </c>
      <c r="E97" s="3" t="inlineStr">
        <is>
          <t>Finished Formulation</t>
        </is>
      </c>
      <c r="F97" s="3" t="inlineStr">
        <is>
          <t>Low</t>
        </is>
      </c>
      <c r="G97" s="3" t="inlineStr">
        <is>
          <t>Consumer sun protection</t>
        </is>
      </c>
      <c r="H97" s="3" t="inlineStr">
        <is>
          <t>Not a raw material</t>
        </is>
      </c>
      <c r="I97" s="3" t="inlineStr">
        <is>
          <t>Bulk</t>
        </is>
      </c>
      <c r="J97" s="3" t="inlineStr">
        <is>
          <t>Finished Product</t>
        </is>
      </c>
    </row>
    <row r="98" ht="15.75" customHeight="1" s="19">
      <c r="A98" s="3" t="n">
        <v>96</v>
      </c>
      <c r="B98" s="3" t="inlineStr">
        <is>
          <t>Para Methoxy Cinnamic Acid</t>
        </is>
      </c>
      <c r="C98" s="3" t="inlineStr">
        <is>
          <t>830-09-1</t>
        </is>
      </c>
      <c r="D98" s="3" t="inlineStr">
        <is>
          <t>330499</t>
        </is>
      </c>
      <c r="E98" s="3" t="inlineStr">
        <is>
          <t>UV Filter Intermediate</t>
        </is>
      </c>
      <c r="F98" s="3" t="inlineStr">
        <is>
          <t>High</t>
        </is>
      </c>
      <c r="G98" s="3" t="inlineStr">
        <is>
          <t>Sunscreen raw material</t>
        </is>
      </c>
      <c r="H98" s="3" t="inlineStr">
        <is>
          <t>Organic synthesis</t>
        </is>
      </c>
      <c r="I98" s="3" t="inlineStr">
        <is>
          <t>Active</t>
        </is>
      </c>
      <c r="J98" s="3" t="inlineStr">
        <is>
          <t>UV Filter Precursor</t>
        </is>
      </c>
    </row>
    <row r="99" ht="15.75" customHeight="1" s="19">
      <c r="A99" s="3" t="n">
        <v>97</v>
      </c>
      <c r="B99" s="3" t="inlineStr">
        <is>
          <t>Cetylpyridinium Chloride Monohydrate (CPC)</t>
        </is>
      </c>
      <c r="C99" s="3" t="inlineStr">
        <is>
          <t>6004-24-6</t>
        </is>
      </c>
      <c r="D99" s="3" t="inlineStr">
        <is>
          <t>330499</t>
        </is>
      </c>
      <c r="E99" s="3" t="inlineStr">
        <is>
          <t>Oral Care Antimicrobial</t>
        </is>
      </c>
      <c r="F99" s="3" t="inlineStr">
        <is>
          <t>High</t>
        </is>
      </c>
      <c r="G99" s="3" t="inlineStr">
        <is>
          <t>Mouthwash, throat lozenges</t>
        </is>
      </c>
      <c r="H99" s="3" t="inlineStr">
        <is>
          <t>Toothpaste, oral rinses</t>
        </is>
      </c>
      <c r="I99" s="3" t="inlineStr">
        <is>
          <t>Active</t>
        </is>
      </c>
      <c r="J99" s="3" t="inlineStr">
        <is>
          <t>Quaternary Ammonium Antimicrobial</t>
        </is>
      </c>
    </row>
    <row r="100" ht="15.75" customHeight="1" s="19">
      <c r="A100" s="3" t="n">
        <v>98</v>
      </c>
      <c r="B100" s="3" t="inlineStr">
        <is>
          <t>Lilac</t>
        </is>
      </c>
      <c r="C100" s="3" t="n"/>
      <c r="D100" s="3" t="n"/>
      <c r="E100" s="3" t="inlineStr">
        <is>
          <t>Botanical / Fragrance</t>
        </is>
      </c>
      <c r="F100" s="3" t="inlineStr">
        <is>
          <t>Medium</t>
        </is>
      </c>
      <c r="G100" s="3" t="inlineStr">
        <is>
          <t>Perfumery, aromatherapy</t>
        </is>
      </c>
      <c r="H100" s="3" t="inlineStr">
        <is>
          <t>Skin care formulations</t>
        </is>
      </c>
      <c r="I100" s="3" t="inlineStr">
        <is>
          <t>Active</t>
        </is>
      </c>
      <c r="J100" s="3" t="inlineStr">
        <is>
          <t>Botanical Extract</t>
        </is>
      </c>
    </row>
    <row r="101" ht="15.75" customHeight="1" s="19">
      <c r="A101" s="3" t="n">
        <v>99</v>
      </c>
      <c r="B101" s="3" t="inlineStr">
        <is>
          <t>2,3,4-Trihydroxy Benzophenone(TBP)</t>
        </is>
      </c>
      <c r="C101" s="3" t="inlineStr">
        <is>
          <t>1143-72-2</t>
        </is>
      </c>
      <c r="D101" s="3" t="inlineStr">
        <is>
          <t>330499</t>
        </is>
      </c>
      <c r="E101" s="3" t="inlineStr">
        <is>
          <t>UV Filter / Photoinitiator</t>
        </is>
      </c>
      <c r="F101" s="3" t="inlineStr">
        <is>
          <t>High</t>
        </is>
      </c>
      <c r="G101" s="3" t="inlineStr">
        <is>
          <t>Sunscreens</t>
        </is>
      </c>
      <c r="H101" s="3" t="inlineStr">
        <is>
          <t>Polymer photostabilization</t>
        </is>
      </c>
      <c r="I101" s="3" t="inlineStr">
        <is>
          <t>Active</t>
        </is>
      </c>
      <c r="J101" s="3" t="inlineStr">
        <is>
          <t>Organic UV Filter</t>
        </is>
      </c>
    </row>
    <row r="102" ht="15.75" customHeight="1" s="19">
      <c r="A102" s="3" t="n">
        <v>100</v>
      </c>
      <c r="B102" s="3" t="inlineStr">
        <is>
          <t>Fragonia</t>
        </is>
      </c>
      <c r="C102" s="3" t="inlineStr">
        <is>
          <t>934621-96-2</t>
        </is>
      </c>
      <c r="D102" s="3" t="inlineStr">
        <is>
          <t>330499</t>
        </is>
      </c>
      <c r="E102" s="3" t="inlineStr">
        <is>
          <t>Essential Oil</t>
        </is>
      </c>
      <c r="F102" s="3" t="inlineStr">
        <is>
          <t>Medium</t>
        </is>
      </c>
      <c r="G102" s="3" t="inlineStr">
        <is>
          <t>Aromatherapy, wellness products</t>
        </is>
      </c>
      <c r="H102" s="3" t="inlineStr">
        <is>
          <t>Natural antimicrobial formulations</t>
        </is>
      </c>
      <c r="I102" s="3" t="inlineStr">
        <is>
          <t>Active</t>
        </is>
      </c>
      <c r="J102" s="3" t="inlineStr">
        <is>
          <t>Essential Oil</t>
        </is>
      </c>
    </row>
    <row r="103" ht="15.75" customHeight="1" s="19">
      <c r="A103" s="3" t="n">
        <v>101</v>
      </c>
      <c r="B103" s="3" t="inlineStr">
        <is>
          <t>Ethyl Lauroyl Arginate HCL</t>
        </is>
      </c>
      <c r="C103" s="3" t="inlineStr">
        <is>
          <t>60372-77-2</t>
        </is>
      </c>
      <c r="D103" s="3" t="inlineStr">
        <is>
          <t>330499</t>
        </is>
      </c>
      <c r="E103" s="3" t="inlineStr">
        <is>
          <t>Antimicrobial Preservative</t>
        </is>
      </c>
      <c r="F103" s="3" t="inlineStr">
        <is>
          <t>High</t>
        </is>
      </c>
      <c r="G103" s="3" t="inlineStr">
        <is>
          <t>Food preservation, cosmetics</t>
        </is>
      </c>
      <c r="H103" s="3" t="inlineStr">
        <is>
          <t>Oral care products</t>
        </is>
      </c>
      <c r="I103" s="3" t="inlineStr">
        <is>
          <t>Active</t>
        </is>
      </c>
      <c r="J103" s="3" t="inlineStr">
        <is>
          <t>Cationic Antimicrobial</t>
        </is>
      </c>
    </row>
    <row r="104" ht="15.75" customHeight="1" s="19">
      <c r="A104" s="3" t="n">
        <v>102</v>
      </c>
      <c r="B104" s="3" t="inlineStr">
        <is>
          <t>Isononyl Isononanoate</t>
        </is>
      </c>
      <c r="C104" s="3" t="inlineStr">
        <is>
          <t>42131-25-9</t>
        </is>
      </c>
      <c r="D104" s="3" t="n"/>
      <c r="E104" s="3" t="inlineStr">
        <is>
          <t>Emollient Ester</t>
        </is>
      </c>
      <c r="F104" s="3" t="inlineStr">
        <is>
          <t>High</t>
        </is>
      </c>
      <c r="G104" s="3" t="inlineStr">
        <is>
          <t>Skin care, sun care</t>
        </is>
      </c>
      <c r="H104" s="3" t="inlineStr">
        <is>
          <t>Color cosmetics, lip care</t>
        </is>
      </c>
      <c r="I104" s="3" t="inlineStr">
        <is>
          <t>Bulk</t>
        </is>
      </c>
      <c r="J104" s="3" t="inlineStr">
        <is>
          <t>Emollient Ester</t>
        </is>
      </c>
    </row>
    <row r="105" ht="15.75" customHeight="1" s="19">
      <c r="A105" s="3" t="n">
        <v>103</v>
      </c>
      <c r="B105" s="3" t="inlineStr">
        <is>
          <t>4-Methoxy-4&amp;#x27;-(2-hydroxyethoxy)benzophenone</t>
        </is>
      </c>
      <c r="C105" s="3" t="inlineStr">
        <is>
          <t>1300688-27-0</t>
        </is>
      </c>
      <c r="D105" s="3" t="inlineStr">
        <is>
          <t>330499</t>
        </is>
      </c>
      <c r="E105" s="3" t="inlineStr">
        <is>
          <t>Cosmetic Ingredient</t>
        </is>
      </c>
      <c r="F105" s="3" t="inlineStr">
        <is>
          <t>Medium</t>
        </is>
      </c>
      <c r="G105" s="3" t="inlineStr">
        <is>
          <t>Personal care formulations</t>
        </is>
      </c>
      <c r="H105" s="3" t="inlineStr">
        <is>
          <t>Specialty applications</t>
        </is>
      </c>
      <c r="I105" s="3" t="inlineStr">
        <is>
          <t>Bulk</t>
        </is>
      </c>
      <c r="J105" s="3" t="inlineStr">
        <is>
          <t>General Cosmetic Chemical</t>
        </is>
      </c>
    </row>
    <row r="106" ht="15.75" customHeight="1" s="19">
      <c r="A106" s="3" t="n">
        <v>104</v>
      </c>
      <c r="B106" s="3" t="inlineStr">
        <is>
          <t>Melanostatine-5</t>
        </is>
      </c>
      <c r="C106" s="3" t="inlineStr">
        <is>
          <t>158563-45-2</t>
        </is>
      </c>
      <c r="D106" s="3" t="inlineStr">
        <is>
          <t>330499</t>
        </is>
      </c>
      <c r="E106" s="3" t="inlineStr">
        <is>
          <t>Anti-pigmentation Peptide</t>
        </is>
      </c>
      <c r="F106" s="3" t="inlineStr">
        <is>
          <t>High</t>
        </is>
      </c>
      <c r="G106" s="3" t="inlineStr">
        <is>
          <t>Skin brightening serums</t>
        </is>
      </c>
      <c r="H106" s="3" t="inlineStr">
        <is>
          <t>Anti-aging formulations</t>
        </is>
      </c>
      <c r="I106" s="3" t="inlineStr">
        <is>
          <t>Active</t>
        </is>
      </c>
      <c r="J106" s="3" t="inlineStr">
        <is>
          <t>Bioactive Peptide</t>
        </is>
      </c>
    </row>
    <row r="107" ht="15.75" customHeight="1" s="19">
      <c r="A107" s="3" t="n">
        <v>105</v>
      </c>
      <c r="B107" s="3" t="inlineStr">
        <is>
          <t>Green Tea Oil soluble</t>
        </is>
      </c>
      <c r="C107" s="3" t="inlineStr">
        <is>
          <t>84650-60-2</t>
        </is>
      </c>
      <c r="D107" s="3" t="inlineStr">
        <is>
          <t>330129</t>
        </is>
      </c>
      <c r="E107" s="3" t="inlineStr">
        <is>
          <t>Antioxidant Extract</t>
        </is>
      </c>
      <c r="F107" s="3" t="inlineStr">
        <is>
          <t>High</t>
        </is>
      </c>
      <c r="G107" s="3" t="inlineStr">
        <is>
          <t>Anti-aging serums, moisturizers</t>
        </is>
      </c>
      <c r="H107" s="3" t="inlineStr">
        <is>
          <t>Sun care, hair care</t>
        </is>
      </c>
      <c r="I107" s="3" t="inlineStr">
        <is>
          <t>Active</t>
        </is>
      </c>
      <c r="J107" s="3" t="inlineStr">
        <is>
          <t>Polyphenol Antioxidant</t>
        </is>
      </c>
    </row>
    <row r="108" ht="15.75" customHeight="1" s="19">
      <c r="A108" s="3" t="n">
        <v>106</v>
      </c>
      <c r="B108" s="3" t="inlineStr">
        <is>
          <t>4,4’-Dimethoxybenzophenone</t>
        </is>
      </c>
      <c r="C108" s="3" t="inlineStr">
        <is>
          <t>90-96-0</t>
        </is>
      </c>
      <c r="D108" s="3" t="inlineStr">
        <is>
          <t>330499</t>
        </is>
      </c>
      <c r="E108" s="3" t="inlineStr">
        <is>
          <t>Cosmetic Ingredient</t>
        </is>
      </c>
      <c r="F108" s="3" t="inlineStr">
        <is>
          <t>Medium</t>
        </is>
      </c>
      <c r="G108" s="3" t="inlineStr">
        <is>
          <t>Personal care formulations</t>
        </is>
      </c>
      <c r="H108" s="3" t="inlineStr">
        <is>
          <t>Specialty applications</t>
        </is>
      </c>
      <c r="I108" s="3" t="inlineStr">
        <is>
          <t>Bulk</t>
        </is>
      </c>
      <c r="J108" s="3" t="inlineStr">
        <is>
          <t>General Cosmetic Chemical</t>
        </is>
      </c>
    </row>
    <row r="109" ht="15.75" customHeight="1" s="19">
      <c r="A109" s="3" t="n">
        <v>107</v>
      </c>
      <c r="B109" s="3" t="inlineStr">
        <is>
          <t>4,4&amp;#x27;-Dihydroxybenzophenone</t>
        </is>
      </c>
      <c r="C109" s="3" t="inlineStr">
        <is>
          <t>611-99-4</t>
        </is>
      </c>
      <c r="D109" s="3" t="inlineStr">
        <is>
          <t>330499</t>
        </is>
      </c>
      <c r="E109" s="3" t="inlineStr">
        <is>
          <t>Cosmetic Ingredient</t>
        </is>
      </c>
      <c r="F109" s="3" t="inlineStr">
        <is>
          <t>Medium</t>
        </is>
      </c>
      <c r="G109" s="3" t="inlineStr">
        <is>
          <t>Personal care formulations</t>
        </is>
      </c>
      <c r="H109" s="3" t="inlineStr">
        <is>
          <t>Specialty applications</t>
        </is>
      </c>
      <c r="I109" s="3" t="inlineStr">
        <is>
          <t>Bulk</t>
        </is>
      </c>
      <c r="J109" s="3" t="inlineStr">
        <is>
          <t>General Cosmetic Chemical</t>
        </is>
      </c>
    </row>
    <row r="110" ht="15.75" customHeight="1" s="19">
      <c r="A110" s="3" t="n">
        <v>108</v>
      </c>
      <c r="B110" s="3" t="inlineStr">
        <is>
          <t>4-Methoxy-4’-butoxybenzophenone</t>
        </is>
      </c>
      <c r="C110" s="3" t="inlineStr">
        <is>
          <t>1226341-56-5</t>
        </is>
      </c>
      <c r="D110" s="3" t="inlineStr">
        <is>
          <t>330499</t>
        </is>
      </c>
      <c r="E110" s="3" t="inlineStr">
        <is>
          <t>Cosmetic Ingredient</t>
        </is>
      </c>
      <c r="F110" s="3" t="inlineStr">
        <is>
          <t>Medium</t>
        </is>
      </c>
      <c r="G110" s="3" t="inlineStr">
        <is>
          <t>Personal care formulations</t>
        </is>
      </c>
      <c r="H110" s="3" t="inlineStr">
        <is>
          <t>Specialty applications</t>
        </is>
      </c>
      <c r="I110" s="3" t="inlineStr">
        <is>
          <t>Bulk</t>
        </is>
      </c>
      <c r="J110" s="3" t="inlineStr">
        <is>
          <t>General Cosmetic Chemical</t>
        </is>
      </c>
    </row>
    <row r="111" ht="15.75" customHeight="1" s="19">
      <c r="A111" s="3" t="n">
        <v>109</v>
      </c>
      <c r="B111" s="3" t="inlineStr">
        <is>
          <t>4-Methoxybenzophenone</t>
        </is>
      </c>
      <c r="C111" s="3" t="inlineStr">
        <is>
          <t>611-94-9</t>
        </is>
      </c>
      <c r="D111" s="3" t="inlineStr">
        <is>
          <t>330499</t>
        </is>
      </c>
      <c r="E111" s="3" t="inlineStr">
        <is>
          <t>UV Filter / Photoinitiator</t>
        </is>
      </c>
      <c r="F111" s="3" t="inlineStr">
        <is>
          <t>Medium</t>
        </is>
      </c>
      <c r="G111" s="3" t="inlineStr">
        <is>
          <t>UV stabilizer for plastics</t>
        </is>
      </c>
      <c r="H111" s="3" t="inlineStr">
        <is>
          <t>Cosmetic UV filter intermediate</t>
        </is>
      </c>
      <c r="I111" s="3" t="inlineStr">
        <is>
          <t>Active</t>
        </is>
      </c>
      <c r="J111" s="3" t="inlineStr">
        <is>
          <t>Benzophenone Derivative</t>
        </is>
      </c>
    </row>
    <row r="112" ht="15.75" customHeight="1" s="19">
      <c r="A112" s="3" t="n">
        <v>110</v>
      </c>
      <c r="B112" s="3" t="inlineStr">
        <is>
          <t>R(-)/D(-) Mandelic Acid</t>
        </is>
      </c>
      <c r="C112" s="3" t="inlineStr">
        <is>
          <t>611-71-2</t>
        </is>
      </c>
      <c r="D112" s="3" t="inlineStr">
        <is>
          <t>330499</t>
        </is>
      </c>
      <c r="E112" s="3" t="inlineStr">
        <is>
          <t>Alpha Hydroxy Acid (AHA)</t>
        </is>
      </c>
      <c r="F112" s="3" t="inlineStr">
        <is>
          <t>High</t>
        </is>
      </c>
      <c r="G112" s="3" t="inlineStr">
        <is>
          <t>Chemical peels, brightening serums</t>
        </is>
      </c>
      <c r="H112" s="3" t="inlineStr">
        <is>
          <t>Chiral pharma intermediate</t>
        </is>
      </c>
      <c r="I112" s="3" t="inlineStr">
        <is>
          <t>Active</t>
        </is>
      </c>
      <c r="J112" s="3" t="inlineStr">
        <is>
          <t>Exfoliant / Keratolytic</t>
        </is>
      </c>
    </row>
    <row r="113" ht="15.75" customHeight="1" s="19">
      <c r="A113" s="3" t="n">
        <v>111</v>
      </c>
      <c r="B113" s="3" t="inlineStr">
        <is>
          <t>Cidaguard</t>
        </is>
      </c>
      <c r="C113" s="3" t="n"/>
      <c r="D113" s="3" t="inlineStr">
        <is>
          <t>330499</t>
        </is>
      </c>
      <c r="E113" s="3" t="inlineStr">
        <is>
          <t>Preservative System</t>
        </is>
      </c>
      <c r="F113" s="3" t="inlineStr">
        <is>
          <t>Low</t>
        </is>
      </c>
      <c r="G113" s="3" t="inlineStr">
        <is>
          <t>Cosmetic preservation</t>
        </is>
      </c>
      <c r="H113" s="3" t="inlineStr">
        <is>
          <t>Personal care antimicrobial</t>
        </is>
      </c>
      <c r="I113" s="3" t="inlineStr">
        <is>
          <t>Bulk</t>
        </is>
      </c>
      <c r="J113" s="3" t="inlineStr">
        <is>
          <t>Proprietary Preservative Blend</t>
        </is>
      </c>
    </row>
    <row r="114" ht="15.75" customHeight="1" s="19">
      <c r="A114" s="3" t="n">
        <v>112</v>
      </c>
      <c r="B114" s="3" t="inlineStr">
        <is>
          <t>Tinosorb-s</t>
        </is>
      </c>
      <c r="C114" s="3" t="inlineStr">
        <is>
          <t>187393-00-6</t>
        </is>
      </c>
      <c r="D114" s="3" t="inlineStr">
        <is>
          <t>330499</t>
        </is>
      </c>
      <c r="E114" s="3" t="inlineStr">
        <is>
          <t>UV Filter</t>
        </is>
      </c>
      <c r="F114" s="3" t="inlineStr">
        <is>
          <t>High</t>
        </is>
      </c>
      <c r="G114" s="3" t="inlineStr">
        <is>
          <t>Sunscreens (broad-spectrum)</t>
        </is>
      </c>
      <c r="H114" s="3" t="inlineStr">
        <is>
          <t>Photostable UV protection</t>
        </is>
      </c>
      <c r="I114" s="3" t="inlineStr">
        <is>
          <t>Active</t>
        </is>
      </c>
      <c r="J114" s="3" t="inlineStr">
        <is>
          <t>Organic UV Filter</t>
        </is>
      </c>
    </row>
    <row r="115" ht="15.75" customHeight="1" s="19">
      <c r="A115" s="3" t="n">
        <v>113</v>
      </c>
      <c r="B115" s="3" t="inlineStr">
        <is>
          <t>[4-(2-Hydroxyethoxy)phenyl]-(4-morpholin-4-yl-phenyl)methanone</t>
        </is>
      </c>
      <c r="C115" s="3" t="inlineStr">
        <is>
          <t>874997-78-1</t>
        </is>
      </c>
      <c r="D115" s="3" t="inlineStr">
        <is>
          <t>330499</t>
        </is>
      </c>
      <c r="E115" s="3" t="inlineStr">
        <is>
          <t>Photoinitiator</t>
        </is>
      </c>
      <c r="F115" s="3" t="inlineStr">
        <is>
          <t>Medium</t>
        </is>
      </c>
      <c r="G115" s="3" t="inlineStr">
        <is>
          <t>UV curing systems</t>
        </is>
      </c>
      <c r="H115" s="3" t="inlineStr">
        <is>
          <t>Specialty coatings</t>
        </is>
      </c>
      <c r="I115" s="3" t="inlineStr">
        <is>
          <t>Active</t>
        </is>
      </c>
      <c r="J115" s="3" t="inlineStr">
        <is>
          <t>Photoinitiator</t>
        </is>
      </c>
    </row>
    <row r="116" ht="15.75" customHeight="1" s="19">
      <c r="A116" s="3" t="n">
        <v>114</v>
      </c>
      <c r="B116" s="3" t="inlineStr">
        <is>
          <t>2-Nitro Para Phenylenediamine</t>
        </is>
      </c>
      <c r="C116" s="3" t="inlineStr">
        <is>
          <t>5307-14-0</t>
        </is>
      </c>
      <c r="D116" s="3" t="inlineStr">
        <is>
          <t>330499</t>
        </is>
      </c>
      <c r="E116" s="3" t="inlineStr">
        <is>
          <t>Hair Dye Intermediate</t>
        </is>
      </c>
      <c r="F116" s="3" t="inlineStr">
        <is>
          <t>High</t>
        </is>
      </c>
      <c r="G116" s="3" t="inlineStr">
        <is>
          <t>Oxidative hair dyes</t>
        </is>
      </c>
      <c r="H116" s="3" t="inlineStr">
        <is>
          <t>Semi-permanent hair color</t>
        </is>
      </c>
      <c r="I116" s="3" t="inlineStr">
        <is>
          <t>Active</t>
        </is>
      </c>
      <c r="J116" s="3" t="inlineStr">
        <is>
          <t>Hair Colorant</t>
        </is>
      </c>
    </row>
    <row r="117" ht="15.75" customHeight="1" s="19">
      <c r="A117" s="3" t="n">
        <v>115</v>
      </c>
      <c r="B117" s="3" t="inlineStr">
        <is>
          <t>Glyceryl Undecylenate</t>
        </is>
      </c>
      <c r="C117" s="3" t="inlineStr">
        <is>
          <t>123-53-5</t>
        </is>
      </c>
      <c r="D117" s="3" t="inlineStr">
        <is>
          <t>330499</t>
        </is>
      </c>
      <c r="E117" s="3" t="inlineStr">
        <is>
          <t>Antimicrobial Emollient</t>
        </is>
      </c>
      <c r="F117" s="3" t="inlineStr">
        <is>
          <t>High</t>
        </is>
      </c>
      <c r="G117" s="3" t="inlineStr">
        <is>
          <t>Natural preservative systems</t>
        </is>
      </c>
      <c r="H117" s="3" t="inlineStr">
        <is>
          <t>Anti-acne skin care</t>
        </is>
      </c>
      <c r="I117" s="3" t="inlineStr">
        <is>
          <t>Active</t>
        </is>
      </c>
      <c r="J117" s="3" t="inlineStr">
        <is>
          <t>Antimicrobial Lipid</t>
        </is>
      </c>
    </row>
    <row r="118" ht="15.75" customHeight="1" s="19">
      <c r="A118" s="3" t="n">
        <v>116</v>
      </c>
      <c r="B118" s="3" t="inlineStr">
        <is>
          <t>lavender</t>
        </is>
      </c>
      <c r="C118" s="3" t="inlineStr">
        <is>
          <t>8000-28-0</t>
        </is>
      </c>
      <c r="D118" s="3" t="inlineStr">
        <is>
          <t>330129</t>
        </is>
      </c>
      <c r="E118" s="3" t="inlineStr">
        <is>
          <t>Essential Oil</t>
        </is>
      </c>
      <c r="F118" s="3" t="inlineStr">
        <is>
          <t>High</t>
        </is>
      </c>
      <c r="G118" s="3" t="inlineStr">
        <is>
          <t>Aromatherapy, skin care</t>
        </is>
      </c>
      <c r="H118" s="3" t="inlineStr">
        <is>
          <t>Hair care, sleep products</t>
        </is>
      </c>
      <c r="I118" s="3" t="inlineStr">
        <is>
          <t>Bulk</t>
        </is>
      </c>
      <c r="J118" s="3" t="inlineStr">
        <is>
          <t>Essential Oil</t>
        </is>
      </c>
    </row>
    <row r="119" ht="15.75" customHeight="1" s="19">
      <c r="A119" s="3" t="n">
        <v>117</v>
      </c>
      <c r="B119" s="3" t="inlineStr">
        <is>
          <t>Ethylhexyl Pelargonatea</t>
        </is>
      </c>
      <c r="C119" s="3" t="inlineStr">
        <is>
          <t>59587-44-9</t>
        </is>
      </c>
      <c r="D119" s="3" t="inlineStr">
        <is>
          <t>330499</t>
        </is>
      </c>
      <c r="E119" s="3" t="inlineStr">
        <is>
          <t>Emollient Ester</t>
        </is>
      </c>
      <c r="F119" s="3" t="inlineStr">
        <is>
          <t>High</t>
        </is>
      </c>
      <c r="G119" s="3" t="inlineStr">
        <is>
          <t>Sun care, skin care</t>
        </is>
      </c>
      <c r="H119" s="3" t="inlineStr">
        <is>
          <t>Color cosmetics</t>
        </is>
      </c>
      <c r="I119" s="3" t="inlineStr">
        <is>
          <t>Bulk</t>
        </is>
      </c>
      <c r="J119" s="3" t="inlineStr">
        <is>
          <t>Emollient Ester</t>
        </is>
      </c>
    </row>
    <row r="120" ht="15.75" customHeight="1" s="19">
      <c r="A120" s="3" t="n">
        <v>118</v>
      </c>
      <c r="B120" s="3" t="inlineStr">
        <is>
          <t>BUTYL PARABEN BP/EP/USP</t>
        </is>
      </c>
      <c r="C120" s="3" t="inlineStr">
        <is>
          <t>94-26-8</t>
        </is>
      </c>
      <c r="D120" s="3" t="inlineStr">
        <is>
          <t>330499</t>
        </is>
      </c>
      <c r="E120" s="3" t="inlineStr">
        <is>
          <t>Preservative</t>
        </is>
      </c>
      <c r="F120" s="3" t="inlineStr">
        <is>
          <t>High</t>
        </is>
      </c>
      <c r="G120" s="3" t="inlineStr">
        <is>
          <t>Cosmetic, pharma preservation</t>
        </is>
      </c>
      <c r="H120" s="3" t="inlineStr">
        <is>
          <t>Industrial antimicrobial</t>
        </is>
      </c>
      <c r="I120" s="3" t="inlineStr">
        <is>
          <t>Bulk</t>
        </is>
      </c>
      <c r="J120" s="3" t="inlineStr">
        <is>
          <t>Paraben Preservative</t>
        </is>
      </c>
    </row>
    <row r="121" ht="15.75" customHeight="1" s="19">
      <c r="A121" s="3" t="n">
        <v>119</v>
      </c>
      <c r="B121" s="3" t="inlineStr">
        <is>
          <t>Phenoxyethanol</t>
        </is>
      </c>
      <c r="C121" s="3" t="inlineStr">
        <is>
          <t>122-99-6</t>
        </is>
      </c>
      <c r="D121" s="3" t="inlineStr">
        <is>
          <t>330499</t>
        </is>
      </c>
      <c r="E121" s="3" t="inlineStr">
        <is>
          <t>Preservative</t>
        </is>
      </c>
      <c r="F121" s="3" t="inlineStr">
        <is>
          <t>High</t>
        </is>
      </c>
      <c r="G121" s="3" t="inlineStr">
        <is>
          <t>Cosmetics, skin care (global standard)</t>
        </is>
      </c>
      <c r="H121" s="3" t="inlineStr">
        <is>
          <t>Pharmaceutical preservation</t>
        </is>
      </c>
      <c r="I121" s="3" t="inlineStr">
        <is>
          <t>Bulk</t>
        </is>
      </c>
      <c r="J121" s="3" t="inlineStr">
        <is>
          <t>Glycol Ether Preservative</t>
        </is>
      </c>
    </row>
    <row r="122" ht="15.75" customHeight="1" s="19">
      <c r="A122" s="3" t="n">
        <v>120</v>
      </c>
      <c r="B122" s="3" t="inlineStr">
        <is>
          <t>Diazolidinyl Urea, Iodopropynyl Butylcarbamate</t>
        </is>
      </c>
      <c r="C122" s="3" t="inlineStr">
        <is>
          <t>78491-02-8</t>
        </is>
      </c>
      <c r="D122" s="3" t="inlineStr">
        <is>
          <t>330499</t>
        </is>
      </c>
      <c r="E122" s="3" t="inlineStr">
        <is>
          <t>Preservative System</t>
        </is>
      </c>
      <c r="F122" s="3" t="inlineStr">
        <is>
          <t>High</t>
        </is>
      </c>
      <c r="G122" s="3" t="inlineStr">
        <is>
          <t>Cosmetic preservation</t>
        </is>
      </c>
      <c r="H122" s="3" t="inlineStr">
        <is>
          <t>Industrial antimicrobial systems</t>
        </is>
      </c>
      <c r="I122" s="3" t="inlineStr">
        <is>
          <t>Bulk</t>
        </is>
      </c>
      <c r="J122" s="3" t="inlineStr">
        <is>
          <t>Combination Preservative</t>
        </is>
      </c>
    </row>
    <row r="123" ht="15.75" customHeight="1" s="19"/>
    <row r="124" ht="15.75" customHeight="1" s="19"/>
    <row r="125" ht="15.75" customHeight="1" s="19">
      <c r="A125" s="6" t="inlineStr">
        <is>
          <t>METALLURGY CHEMICALS (MC) — 260 Chemicals from Scimplify</t>
        </is>
      </c>
    </row>
    <row r="126" ht="15.75" customHeight="1" s="19">
      <c r="A126" s="7" t="inlineStr">
        <is>
          <t>#</t>
        </is>
      </c>
      <c r="B126" s="7" t="inlineStr">
        <is>
          <t>Chemical Name</t>
        </is>
      </c>
      <c r="C126" s="7" t="inlineStr">
        <is>
          <t>CAS Number</t>
        </is>
      </c>
      <c r="D126" s="7" t="inlineStr">
        <is>
          <t>HSN Code</t>
        </is>
      </c>
      <c r="E126" s="7" t="inlineStr">
        <is>
          <t>Type of Chemistry</t>
        </is>
      </c>
      <c r="F126" s="7" t="inlineStr">
        <is>
          <t>Confidence</t>
        </is>
      </c>
      <c r="G126" s="7" t="inlineStr">
        <is>
          <t>Primary Application</t>
        </is>
      </c>
      <c r="H126" s="7" t="inlineStr">
        <is>
          <t>Secondary Application</t>
        </is>
      </c>
      <c r="I126" s="7" t="inlineStr">
        <is>
          <t>Classification</t>
        </is>
      </c>
      <c r="J126" s="7" t="inlineStr">
        <is>
          <t>Sub-Classification</t>
        </is>
      </c>
    </row>
    <row r="127" ht="15.75" customHeight="1" s="19">
      <c r="A127" s="3" t="n">
        <v>1</v>
      </c>
      <c r="B127" s="3" t="inlineStr">
        <is>
          <t>Titanium powder</t>
        </is>
      </c>
      <c r="C127" s="3" t="inlineStr">
        <is>
          <t>7440-32-6</t>
        </is>
      </c>
      <c r="D127" s="8" t="inlineStr">
        <is>
          <t>810890</t>
        </is>
      </c>
      <c r="E127" s="3" t="inlineStr">
        <is>
          <t>Metal Powder / Alloy</t>
        </is>
      </c>
      <c r="F127" s="3" t="inlineStr">
        <is>
          <t>High</t>
        </is>
      </c>
      <c r="G127" s="3" t="inlineStr">
        <is>
          <t>Powder metallurgy, additive manufacturing</t>
        </is>
      </c>
      <c r="H127" s="3" t="inlineStr">
        <is>
          <t>Thermal spray coatings</t>
        </is>
      </c>
      <c r="I127" s="3" t="inlineStr">
        <is>
          <t>Bulk</t>
        </is>
      </c>
      <c r="J127" s="3" t="inlineStr">
        <is>
          <t>Elemental Metal / Alloy</t>
        </is>
      </c>
    </row>
    <row r="128" ht="15.75" customHeight="1" s="19">
      <c r="A128" s="3" t="n">
        <v>2</v>
      </c>
      <c r="B128" s="3" t="inlineStr">
        <is>
          <t>Nickel (II) Carbonate Hydroxide</t>
        </is>
      </c>
      <c r="C128" s="3" t="inlineStr">
        <is>
          <t>39380-74-0</t>
        </is>
      </c>
      <c r="D128" s="8" t="inlineStr">
        <is>
          <t>282540</t>
        </is>
      </c>
      <c r="E128" s="3" t="inlineStr">
        <is>
          <t>Nickel Compound</t>
        </is>
      </c>
      <c r="F128" s="3" t="inlineStr">
        <is>
          <t>High</t>
        </is>
      </c>
      <c r="G128" s="3" t="inlineStr">
        <is>
          <t>Electroplating, batteries</t>
        </is>
      </c>
      <c r="H128" s="3" t="inlineStr">
        <is>
          <t>Catalysis, ceramics</t>
        </is>
      </c>
      <c r="I128" s="3" t="inlineStr">
        <is>
          <t>Bulk</t>
        </is>
      </c>
      <c r="J128" s="3" t="inlineStr">
        <is>
          <t>Transition Metal Salt</t>
        </is>
      </c>
    </row>
    <row r="129" ht="15.75" customHeight="1" s="19">
      <c r="A129" s="3" t="n">
        <v>3</v>
      </c>
      <c r="B129" s="3" t="inlineStr">
        <is>
          <t>Nickel (II) Carbonate Basic</t>
        </is>
      </c>
      <c r="C129" s="3" t="inlineStr">
        <is>
          <t>12244-51-8</t>
        </is>
      </c>
      <c r="D129" s="8" t="inlineStr">
        <is>
          <t>283699</t>
        </is>
      </c>
      <c r="E129" s="3" t="inlineStr">
        <is>
          <t>Nickel Compound</t>
        </is>
      </c>
      <c r="F129" s="3" t="inlineStr">
        <is>
          <t>High</t>
        </is>
      </c>
      <c r="G129" s="3" t="inlineStr">
        <is>
          <t>Electroplating, batteries</t>
        </is>
      </c>
      <c r="H129" s="3" t="inlineStr">
        <is>
          <t>Catalysis, ceramics</t>
        </is>
      </c>
      <c r="I129" s="3" t="inlineStr">
        <is>
          <t>Bulk</t>
        </is>
      </c>
      <c r="J129" s="3" t="inlineStr">
        <is>
          <t>Transition Metal Salt</t>
        </is>
      </c>
    </row>
    <row r="130" ht="15.75" customHeight="1" s="19">
      <c r="A130" s="3" t="n">
        <v>4</v>
      </c>
      <c r="B130" s="3" t="inlineStr">
        <is>
          <t>Cerium chloride heptahydrate</t>
        </is>
      </c>
      <c r="C130" s="3" t="n"/>
      <c r="D130" s="8" t="inlineStr">
        <is>
          <t>284610</t>
        </is>
      </c>
      <c r="E130" s="3" t="inlineStr">
        <is>
          <t>Rare Earth Compound</t>
        </is>
      </c>
      <c r="F130" s="3" t="inlineStr">
        <is>
          <t>High</t>
        </is>
      </c>
      <c r="G130" s="3" t="inlineStr">
        <is>
          <t>Electronics, catalysts, glass polishing</t>
        </is>
      </c>
      <c r="H130" s="3" t="inlineStr">
        <is>
          <t>Ceramics, phosphors</t>
        </is>
      </c>
      <c r="I130" s="3" t="inlineStr">
        <is>
          <t>Active</t>
        </is>
      </c>
      <c r="J130" s="3" t="inlineStr">
        <is>
          <t>Rare Earth Salt / Oxide</t>
        </is>
      </c>
    </row>
    <row r="131" ht="15.75" customHeight="1" s="19">
      <c r="A131" s="3" t="n">
        <v>5</v>
      </c>
      <c r="B131" s="3" t="inlineStr">
        <is>
          <t>Bismuth (III) Iodide</t>
        </is>
      </c>
      <c r="C131" s="3" t="inlineStr">
        <is>
          <t>7787-64-6</t>
        </is>
      </c>
      <c r="D131" s="8" t="inlineStr">
        <is>
          <t>282760</t>
        </is>
      </c>
      <c r="E131" s="3" t="inlineStr">
        <is>
          <t>Bismuth Compound</t>
        </is>
      </c>
      <c r="F131" s="3" t="inlineStr">
        <is>
          <t>High</t>
        </is>
      </c>
      <c r="G131" s="3" t="inlineStr">
        <is>
          <t>Pharmaceuticals, cosmetics (pearlescent)</t>
        </is>
      </c>
      <c r="H131" s="3" t="inlineStr">
        <is>
          <t>Lead-free solder, alloys</t>
        </is>
      </c>
      <c r="I131" s="3" t="inlineStr">
        <is>
          <t>Active</t>
        </is>
      </c>
      <c r="J131" s="3" t="inlineStr">
        <is>
          <t>Post-transition Metal Salt</t>
        </is>
      </c>
    </row>
    <row r="132" ht="15.75" customHeight="1" s="19">
      <c r="A132" s="3" t="n">
        <v>6</v>
      </c>
      <c r="B132" s="3" t="inlineStr">
        <is>
          <t>Antimony Powder</t>
        </is>
      </c>
      <c r="C132" s="3" t="inlineStr">
        <is>
          <t>7440-36-0</t>
        </is>
      </c>
      <c r="D132" s="8" t="inlineStr">
        <is>
          <t>811010</t>
        </is>
      </c>
      <c r="E132" s="3" t="inlineStr">
        <is>
          <t>Metal Powder / Alloy</t>
        </is>
      </c>
      <c r="F132" s="3" t="inlineStr">
        <is>
          <t>High</t>
        </is>
      </c>
      <c r="G132" s="3" t="inlineStr">
        <is>
          <t>Powder metallurgy, additive manufacturing</t>
        </is>
      </c>
      <c r="H132" s="3" t="inlineStr">
        <is>
          <t>Thermal spray coatings</t>
        </is>
      </c>
      <c r="I132" s="3" t="inlineStr">
        <is>
          <t>Bulk</t>
        </is>
      </c>
      <c r="J132" s="3" t="inlineStr">
        <is>
          <t>Elemental Metal / Alloy</t>
        </is>
      </c>
    </row>
    <row r="133" ht="15.75" customHeight="1" s="19">
      <c r="A133" s="3" t="n">
        <v>7</v>
      </c>
      <c r="B133" s="3" t="inlineStr">
        <is>
          <t>Silver EDTA</t>
        </is>
      </c>
      <c r="C133" s="3" t="inlineStr">
        <is>
          <t>6381-92-6</t>
        </is>
      </c>
      <c r="D133" s="8" t="inlineStr">
        <is>
          <t>284329</t>
        </is>
      </c>
      <c r="E133" s="3" t="inlineStr">
        <is>
          <t>Silver Compound</t>
        </is>
      </c>
      <c r="F133" s="3" t="inlineStr">
        <is>
          <t>High</t>
        </is>
      </c>
      <c r="G133" s="3" t="inlineStr">
        <is>
          <t>Photography, electronics</t>
        </is>
      </c>
      <c r="H133" s="3" t="inlineStr">
        <is>
          <t>Antimicrobial applications</t>
        </is>
      </c>
      <c r="I133" s="3" t="inlineStr">
        <is>
          <t>Active</t>
        </is>
      </c>
      <c r="J133" s="3" t="inlineStr">
        <is>
          <t>Precious Metal Salt</t>
        </is>
      </c>
    </row>
    <row r="134" ht="15.75" customHeight="1" s="19">
      <c r="A134" s="3" t="n">
        <v>8</v>
      </c>
      <c r="B134" s="3" t="inlineStr">
        <is>
          <t>Zirconium Oxide</t>
        </is>
      </c>
      <c r="C134" s="3" t="inlineStr">
        <is>
          <t>1314-23-4</t>
        </is>
      </c>
      <c r="D134" s="8" t="inlineStr">
        <is>
          <t>282560</t>
        </is>
      </c>
      <c r="E134" s="3" t="inlineStr">
        <is>
          <t>Zirconium Compound</t>
        </is>
      </c>
      <c r="F134" s="3" t="inlineStr">
        <is>
          <t>High</t>
        </is>
      </c>
      <c r="G134" s="3" t="inlineStr">
        <is>
          <t>Ceramics, nuclear reactors</t>
        </is>
      </c>
      <c r="H134" s="3" t="inlineStr">
        <is>
          <t>Refractory coatings, dental</t>
        </is>
      </c>
      <c r="I134" s="3" t="inlineStr">
        <is>
          <t>Active</t>
        </is>
      </c>
      <c r="J134" s="3" t="inlineStr">
        <is>
          <t>Refractory Metal Compound</t>
        </is>
      </c>
    </row>
    <row r="135" ht="15.75" customHeight="1" s="19">
      <c r="A135" s="3" t="n">
        <v>9</v>
      </c>
      <c r="B135" s="3" t="inlineStr">
        <is>
          <t>Cerium chloride</t>
        </is>
      </c>
      <c r="C135" s="3" t="inlineStr">
        <is>
          <t>7790-86-5</t>
        </is>
      </c>
      <c r="D135" s="8" t="inlineStr">
        <is>
          <t>284610</t>
        </is>
      </c>
      <c r="E135" s="3" t="inlineStr">
        <is>
          <t>Rare Earth Compound</t>
        </is>
      </c>
      <c r="F135" s="3" t="inlineStr">
        <is>
          <t>High</t>
        </is>
      </c>
      <c r="G135" s="3" t="inlineStr">
        <is>
          <t>Electronics, catalysts, glass polishing</t>
        </is>
      </c>
      <c r="H135" s="3" t="inlineStr">
        <is>
          <t>Ceramics, phosphors</t>
        </is>
      </c>
      <c r="I135" s="3" t="inlineStr">
        <is>
          <t>Active</t>
        </is>
      </c>
      <c r="J135" s="3" t="inlineStr">
        <is>
          <t>Rare Earth Salt / Oxide</t>
        </is>
      </c>
    </row>
    <row r="136" ht="15.75" customHeight="1" s="19">
      <c r="A136" s="3" t="n">
        <v>10</v>
      </c>
      <c r="B136" s="3" t="inlineStr">
        <is>
          <t>Cerium Oxide</t>
        </is>
      </c>
      <c r="C136" s="3" t="inlineStr">
        <is>
          <t>1306-38-3</t>
        </is>
      </c>
      <c r="D136" s="8" t="inlineStr">
        <is>
          <t>284610</t>
        </is>
      </c>
      <c r="E136" s="3" t="inlineStr">
        <is>
          <t>Rare Earth Compound</t>
        </is>
      </c>
      <c r="F136" s="3" t="inlineStr">
        <is>
          <t>High</t>
        </is>
      </c>
      <c r="G136" s="3" t="inlineStr">
        <is>
          <t>Electronics, catalysts, glass polishing</t>
        </is>
      </c>
      <c r="H136" s="3" t="inlineStr">
        <is>
          <t>Ceramics, phosphors</t>
        </is>
      </c>
      <c r="I136" s="3" t="inlineStr">
        <is>
          <t>Active</t>
        </is>
      </c>
      <c r="J136" s="3" t="inlineStr">
        <is>
          <t>Rare Earth Salt / Oxide</t>
        </is>
      </c>
    </row>
    <row r="137" ht="15.75" customHeight="1" s="19">
      <c r="A137" s="3" t="n">
        <v>11</v>
      </c>
      <c r="B137" s="3" t="inlineStr">
        <is>
          <t>Cerium Sulfate</t>
        </is>
      </c>
      <c r="C137" s="3" t="inlineStr">
        <is>
          <t>13590-82-4</t>
        </is>
      </c>
      <c r="D137" s="8" t="inlineStr">
        <is>
          <t>284610</t>
        </is>
      </c>
      <c r="E137" s="3" t="inlineStr">
        <is>
          <t>Rare Earth Compound</t>
        </is>
      </c>
      <c r="F137" s="3" t="inlineStr">
        <is>
          <t>High</t>
        </is>
      </c>
      <c r="G137" s="3" t="inlineStr">
        <is>
          <t>Electronics, catalysts, glass polishing</t>
        </is>
      </c>
      <c r="H137" s="3" t="inlineStr">
        <is>
          <t>Ceramics, phosphors</t>
        </is>
      </c>
      <c r="I137" s="3" t="inlineStr">
        <is>
          <t>Active</t>
        </is>
      </c>
      <c r="J137" s="3" t="inlineStr">
        <is>
          <t>Rare Earth Salt / Oxide</t>
        </is>
      </c>
    </row>
    <row r="138" ht="15.75" customHeight="1" s="19">
      <c r="A138" s="3" t="n">
        <v>12</v>
      </c>
      <c r="B138" s="3" t="inlineStr">
        <is>
          <t>Cerium Ammonium Nitrate</t>
        </is>
      </c>
      <c r="C138" s="3" t="inlineStr">
        <is>
          <t>16774-21-3</t>
        </is>
      </c>
      <c r="D138" s="8" t="inlineStr">
        <is>
          <t>284610</t>
        </is>
      </c>
      <c r="E138" s="3" t="inlineStr">
        <is>
          <t>Rare Earth Compound</t>
        </is>
      </c>
      <c r="F138" s="3" t="inlineStr">
        <is>
          <t>High</t>
        </is>
      </c>
      <c r="G138" s="3" t="inlineStr">
        <is>
          <t>Electronics, catalysts, glass polishing</t>
        </is>
      </c>
      <c r="H138" s="3" t="inlineStr">
        <is>
          <t>Ceramics, phosphors</t>
        </is>
      </c>
      <c r="I138" s="3" t="inlineStr">
        <is>
          <t>Active</t>
        </is>
      </c>
      <c r="J138" s="3" t="inlineStr">
        <is>
          <t>Rare Earth Salt / Oxide</t>
        </is>
      </c>
    </row>
    <row r="139" ht="15.75" customHeight="1" s="19">
      <c r="A139" s="3" t="n">
        <v>13</v>
      </c>
      <c r="B139" s="3" t="inlineStr">
        <is>
          <t>Lanthanum Sesquioxide</t>
        </is>
      </c>
      <c r="C139" s="3" t="inlineStr">
        <is>
          <t>1312-81-8</t>
        </is>
      </c>
      <c r="D139" s="8" t="inlineStr">
        <is>
          <t>284610</t>
        </is>
      </c>
      <c r="E139" s="3" t="inlineStr">
        <is>
          <t>Rare Earth Compound</t>
        </is>
      </c>
      <c r="F139" s="3" t="inlineStr">
        <is>
          <t>High</t>
        </is>
      </c>
      <c r="G139" s="3" t="inlineStr">
        <is>
          <t>Electronics, catalysts, glass polishing</t>
        </is>
      </c>
      <c r="H139" s="3" t="inlineStr">
        <is>
          <t>Ceramics, phosphors</t>
        </is>
      </c>
      <c r="I139" s="3" t="inlineStr">
        <is>
          <t>Active</t>
        </is>
      </c>
      <c r="J139" s="3" t="inlineStr">
        <is>
          <t>Rare Earth Salt / Oxide</t>
        </is>
      </c>
    </row>
    <row r="140" ht="15.75" customHeight="1" s="19">
      <c r="A140" s="3" t="n">
        <v>14</v>
      </c>
      <c r="B140" s="3" t="inlineStr">
        <is>
          <t>Cerium Ammonium Sulphate</t>
        </is>
      </c>
      <c r="C140" s="3" t="inlineStr">
        <is>
          <t>10378-47-9</t>
        </is>
      </c>
      <c r="D140" s="8" t="inlineStr">
        <is>
          <t>284610</t>
        </is>
      </c>
      <c r="E140" s="3" t="inlineStr">
        <is>
          <t>Rare Earth Compound</t>
        </is>
      </c>
      <c r="F140" s="3" t="inlineStr">
        <is>
          <t>High</t>
        </is>
      </c>
      <c r="G140" s="3" t="inlineStr">
        <is>
          <t>Electronics, catalysts, glass polishing</t>
        </is>
      </c>
      <c r="H140" s="3" t="inlineStr">
        <is>
          <t>Ceramics, phosphors</t>
        </is>
      </c>
      <c r="I140" s="3" t="inlineStr">
        <is>
          <t>Active</t>
        </is>
      </c>
      <c r="J140" s="3" t="inlineStr">
        <is>
          <t>Rare Earth Salt / Oxide</t>
        </is>
      </c>
    </row>
    <row r="141" ht="15.75" customHeight="1" s="19">
      <c r="A141" s="3" t="n">
        <v>15</v>
      </c>
      <c r="B141" s="3" t="inlineStr">
        <is>
          <t>Cerium Hydroxide</t>
        </is>
      </c>
      <c r="C141" s="3" t="inlineStr">
        <is>
          <t>12014-56-1</t>
        </is>
      </c>
      <c r="D141" s="8" t="inlineStr">
        <is>
          <t>284610</t>
        </is>
      </c>
      <c r="E141" s="3" t="inlineStr">
        <is>
          <t>Rare Earth Compound</t>
        </is>
      </c>
      <c r="F141" s="3" t="inlineStr">
        <is>
          <t>High</t>
        </is>
      </c>
      <c r="G141" s="3" t="inlineStr">
        <is>
          <t>Electronics, catalysts, glass polishing</t>
        </is>
      </c>
      <c r="H141" s="3" t="inlineStr">
        <is>
          <t>Ceramics, phosphors</t>
        </is>
      </c>
      <c r="I141" s="3" t="inlineStr">
        <is>
          <t>Active</t>
        </is>
      </c>
      <c r="J141" s="3" t="inlineStr">
        <is>
          <t>Rare Earth Salt / Oxide</t>
        </is>
      </c>
    </row>
    <row r="142" ht="15.75" customHeight="1" s="19">
      <c r="A142" s="3" t="n">
        <v>16</v>
      </c>
      <c r="B142" s="3" t="inlineStr">
        <is>
          <t>Lanthanum Nitrate</t>
        </is>
      </c>
      <c r="C142" s="3" t="inlineStr">
        <is>
          <t>10277-43-7</t>
        </is>
      </c>
      <c r="D142" s="8" t="inlineStr">
        <is>
          <t>284610</t>
        </is>
      </c>
      <c r="E142" s="3" t="inlineStr">
        <is>
          <t>Rare Earth Compound</t>
        </is>
      </c>
      <c r="F142" s="3" t="inlineStr">
        <is>
          <t>High</t>
        </is>
      </c>
      <c r="G142" s="3" t="inlineStr">
        <is>
          <t>Electronics, catalysts, glass polishing</t>
        </is>
      </c>
      <c r="H142" s="3" t="inlineStr">
        <is>
          <t>Ceramics, phosphors</t>
        </is>
      </c>
      <c r="I142" s="3" t="inlineStr">
        <is>
          <t>Active</t>
        </is>
      </c>
      <c r="J142" s="3" t="inlineStr">
        <is>
          <t>Rare Earth Salt / Oxide</t>
        </is>
      </c>
    </row>
    <row r="143" ht="15.75" customHeight="1" s="19">
      <c r="A143" s="3" t="n">
        <v>17</v>
      </c>
      <c r="B143" s="3" t="inlineStr">
        <is>
          <t>Cerium Carbonate</t>
        </is>
      </c>
      <c r="C143" s="3" t="inlineStr">
        <is>
          <t>5853-16-7</t>
        </is>
      </c>
      <c r="D143" s="8" t="inlineStr">
        <is>
          <t>284610</t>
        </is>
      </c>
      <c r="E143" s="3" t="inlineStr">
        <is>
          <t>Rare Earth Compound</t>
        </is>
      </c>
      <c r="F143" s="3" t="inlineStr">
        <is>
          <t>High</t>
        </is>
      </c>
      <c r="G143" s="3" t="inlineStr">
        <is>
          <t>Electronics, catalysts, glass polishing</t>
        </is>
      </c>
      <c r="H143" s="3" t="inlineStr">
        <is>
          <t>Ceramics, phosphors</t>
        </is>
      </c>
      <c r="I143" s="3" t="inlineStr">
        <is>
          <t>Active</t>
        </is>
      </c>
      <c r="J143" s="3" t="inlineStr">
        <is>
          <t>Rare Earth Salt / Oxide</t>
        </is>
      </c>
    </row>
    <row r="144" ht="15.75" customHeight="1" s="19">
      <c r="A144" s="3" t="n">
        <v>18</v>
      </c>
      <c r="B144" s="3" t="inlineStr">
        <is>
          <t>Lanthanum(III) chloride</t>
        </is>
      </c>
      <c r="C144" s="3" t="inlineStr">
        <is>
          <t>10099-58-8</t>
        </is>
      </c>
      <c r="D144" s="8" t="inlineStr">
        <is>
          <t>284610</t>
        </is>
      </c>
      <c r="E144" s="3" t="inlineStr">
        <is>
          <t>Rare Earth Compound</t>
        </is>
      </c>
      <c r="F144" s="3" t="inlineStr">
        <is>
          <t>High</t>
        </is>
      </c>
      <c r="G144" s="3" t="inlineStr">
        <is>
          <t>Electronics, catalysts, glass polishing</t>
        </is>
      </c>
      <c r="H144" s="3" t="inlineStr">
        <is>
          <t>Ceramics, phosphors</t>
        </is>
      </c>
      <c r="I144" s="3" t="inlineStr">
        <is>
          <t>Active</t>
        </is>
      </c>
      <c r="J144" s="3" t="inlineStr">
        <is>
          <t>Rare Earth Salt / Oxide</t>
        </is>
      </c>
    </row>
    <row r="145" ht="15.75" customHeight="1" s="19">
      <c r="A145" s="3" t="n">
        <v>19</v>
      </c>
      <c r="B145" s="3" t="inlineStr">
        <is>
          <t>Chromium Sulphate</t>
        </is>
      </c>
      <c r="C145" s="3" t="inlineStr">
        <is>
          <t>39380-78-4</t>
        </is>
      </c>
      <c r="D145" s="8" t="inlineStr">
        <is>
          <t>283329</t>
        </is>
      </c>
      <c r="E145" s="3" t="inlineStr">
        <is>
          <t>Chromium Compound</t>
        </is>
      </c>
      <c r="F145" s="3" t="inlineStr">
        <is>
          <t>High</t>
        </is>
      </c>
      <c r="G145" s="3" t="inlineStr">
        <is>
          <t>Electroplating, leather tanning</t>
        </is>
      </c>
      <c r="H145" s="3" t="inlineStr">
        <is>
          <t>Pigments, catalysis</t>
        </is>
      </c>
      <c r="I145" s="3" t="inlineStr">
        <is>
          <t>Bulk</t>
        </is>
      </c>
      <c r="J145" s="3" t="inlineStr">
        <is>
          <t>Transition Metal Salt</t>
        </is>
      </c>
    </row>
    <row r="146" ht="15.75" customHeight="1" s="19">
      <c r="A146" s="3" t="n">
        <v>20</v>
      </c>
      <c r="B146" s="3" t="inlineStr">
        <is>
          <t>Ammonium Oxalate</t>
        </is>
      </c>
      <c r="C146" s="3" t="inlineStr">
        <is>
          <t>1113-38-8</t>
        </is>
      </c>
      <c r="D146" s="8" t="inlineStr">
        <is>
          <t>291711</t>
        </is>
      </c>
      <c r="E146" s="3" t="inlineStr">
        <is>
          <t>Ammonium Salt</t>
        </is>
      </c>
      <c r="F146" s="3" t="inlineStr">
        <is>
          <t>High</t>
        </is>
      </c>
      <c r="G146" s="3" t="inlineStr">
        <is>
          <t>Analytical chemistry, etching</t>
        </is>
      </c>
      <c r="H146" s="3" t="inlineStr">
        <is>
          <t>Fertilizers, water treatment</t>
        </is>
      </c>
      <c r="I146" s="3" t="inlineStr">
        <is>
          <t>Bulk</t>
        </is>
      </c>
      <c r="J146" s="3" t="inlineStr">
        <is>
          <t>Inorganic Ammonium Salt</t>
        </is>
      </c>
    </row>
    <row r="147" ht="15.75" customHeight="1" s="19">
      <c r="A147" s="3" t="n">
        <v>21</v>
      </c>
      <c r="B147" s="3" t="inlineStr">
        <is>
          <t>Methyl Isobutyl Carbinol</t>
        </is>
      </c>
      <c r="C147" s="3" t="inlineStr">
        <is>
          <t>108-11-2</t>
        </is>
      </c>
      <c r="D147" s="8" t="inlineStr">
        <is>
          <t>290549</t>
        </is>
      </c>
      <c r="E147" s="3" t="inlineStr">
        <is>
          <t>Mining Flotation Agent</t>
        </is>
      </c>
      <c r="F147" s="3" t="inlineStr">
        <is>
          <t>High</t>
        </is>
      </c>
      <c r="G147" s="3" t="inlineStr">
        <is>
          <t>Mineral ore flotation (frother)</t>
        </is>
      </c>
      <c r="H147" s="3" t="inlineStr">
        <is>
          <t>Solvent applications</t>
        </is>
      </c>
      <c r="I147" s="3" t="inlineStr">
        <is>
          <t>Bulk</t>
        </is>
      </c>
      <c r="J147" s="3" t="inlineStr">
        <is>
          <t>Alcohol / Frother</t>
        </is>
      </c>
    </row>
    <row r="148" ht="15.75" customHeight="1" s="19">
      <c r="A148" s="3" t="n">
        <v>22</v>
      </c>
      <c r="B148" s="3" t="inlineStr">
        <is>
          <t>Strontium Citrate</t>
        </is>
      </c>
      <c r="C148" s="3" t="inlineStr">
        <is>
          <t>813-97-8</t>
        </is>
      </c>
      <c r="D148" s="8" t="inlineStr">
        <is>
          <t>291815</t>
        </is>
      </c>
      <c r="E148" s="3" t="inlineStr">
        <is>
          <t>Strontium Compound</t>
        </is>
      </c>
      <c r="F148" s="3" t="inlineStr">
        <is>
          <t>High</t>
        </is>
      </c>
      <c r="G148" s="3" t="inlineStr">
        <is>
          <t>Fireworks, ceramics</t>
        </is>
      </c>
      <c r="H148" s="3" t="inlineStr">
        <is>
          <t>Ferrite magnets, glass</t>
        </is>
      </c>
      <c r="I148" s="3" t="inlineStr">
        <is>
          <t>Active</t>
        </is>
      </c>
      <c r="J148" s="3" t="inlineStr">
        <is>
          <t>Alkaline Earth Metal Salt</t>
        </is>
      </c>
    </row>
    <row r="149" ht="15.75" customHeight="1" s="19">
      <c r="A149" s="3" t="n">
        <v>23</v>
      </c>
      <c r="B149" s="3" t="inlineStr">
        <is>
          <t>Manganese Dioxide</t>
        </is>
      </c>
      <c r="C149" s="3" t="inlineStr">
        <is>
          <t>1313-13-9</t>
        </is>
      </c>
      <c r="D149" s="8" t="inlineStr">
        <is>
          <t>282010</t>
        </is>
      </c>
      <c r="E149" s="3" t="inlineStr">
        <is>
          <t>Manganese Compound</t>
        </is>
      </c>
      <c r="F149" s="3" t="inlineStr">
        <is>
          <t>High</t>
        </is>
      </c>
      <c r="G149" s="3" t="inlineStr">
        <is>
          <t>Batteries, steel production</t>
        </is>
      </c>
      <c r="H149" s="3" t="inlineStr">
        <is>
          <t>Pigments, fertilizers</t>
        </is>
      </c>
      <c r="I149" s="3" t="inlineStr">
        <is>
          <t>Bulk</t>
        </is>
      </c>
      <c r="J149" s="3" t="inlineStr">
        <is>
          <t>Transition Metal Salt</t>
        </is>
      </c>
    </row>
    <row r="150" ht="15.75" customHeight="1" s="19">
      <c r="A150" s="3" t="n">
        <v>24</v>
      </c>
      <c r="B150" s="3" t="inlineStr">
        <is>
          <t>Methylammonium Iodide</t>
        </is>
      </c>
      <c r="C150" s="3" t="inlineStr">
        <is>
          <t>14965-49-2</t>
        </is>
      </c>
      <c r="D150" s="8" t="inlineStr">
        <is>
          <t>292119</t>
        </is>
      </c>
      <c r="E150" s="3" t="inlineStr">
        <is>
          <t>Ammonium Salt</t>
        </is>
      </c>
      <c r="F150" s="3" t="inlineStr">
        <is>
          <t>High</t>
        </is>
      </c>
      <c r="G150" s="3" t="inlineStr">
        <is>
          <t>Analytical chemistry, etching</t>
        </is>
      </c>
      <c r="H150" s="3" t="inlineStr">
        <is>
          <t>Fertilizers, water treatment</t>
        </is>
      </c>
      <c r="I150" s="3" t="inlineStr">
        <is>
          <t>Bulk</t>
        </is>
      </c>
      <c r="J150" s="3" t="inlineStr">
        <is>
          <t>Inorganic Ammonium Salt</t>
        </is>
      </c>
    </row>
    <row r="151" ht="15.75" customHeight="1" s="19">
      <c r="A151" s="3" t="n">
        <v>25</v>
      </c>
      <c r="B151" s="3" t="inlineStr">
        <is>
          <t>Diphenyl Diselenide</t>
        </is>
      </c>
      <c r="C151" s="3" t="inlineStr">
        <is>
          <t>1666-13-3</t>
        </is>
      </c>
      <c r="D151" s="8" t="inlineStr">
        <is>
          <t>293090</t>
        </is>
      </c>
      <c r="E151" s="3" t="inlineStr">
        <is>
          <t>Organoselenium Compound</t>
        </is>
      </c>
      <c r="F151" s="3" t="inlineStr">
        <is>
          <t>High</t>
        </is>
      </c>
      <c r="G151" s="3" t="inlineStr">
        <is>
          <t>Organic synthesis catalyst</t>
        </is>
      </c>
      <c r="H151" s="3" t="inlineStr">
        <is>
          <t>Antioxidant research</t>
        </is>
      </c>
      <c r="I151" s="3" t="inlineStr">
        <is>
          <t>Active</t>
        </is>
      </c>
      <c r="J151" s="3" t="inlineStr">
        <is>
          <t>Organochalcogen</t>
        </is>
      </c>
    </row>
    <row r="152" ht="15.75" customHeight="1" s="19">
      <c r="A152" s="3" t="n">
        <v>26</v>
      </c>
      <c r="B152" s="3" t="inlineStr">
        <is>
          <t>Methyl Magnesium Bromide</t>
        </is>
      </c>
      <c r="C152" s="3" t="inlineStr">
        <is>
          <t>75-16-1</t>
        </is>
      </c>
      <c r="D152" s="8" t="inlineStr">
        <is>
          <t>293190</t>
        </is>
      </c>
      <c r="E152" s="3" t="inlineStr">
        <is>
          <t>Grignard Reagent</t>
        </is>
      </c>
      <c r="F152" s="3" t="inlineStr">
        <is>
          <t>High</t>
        </is>
      </c>
      <c r="G152" s="3" t="inlineStr">
        <is>
          <t>Pharmaceutical synthesis</t>
        </is>
      </c>
      <c r="H152" s="3" t="inlineStr">
        <is>
          <t>Fine chemical manufacturing</t>
        </is>
      </c>
      <c r="I152" s="3" t="inlineStr">
        <is>
          <t>Active</t>
        </is>
      </c>
      <c r="J152" s="3" t="inlineStr">
        <is>
          <t>Organometallic Reagent</t>
        </is>
      </c>
    </row>
    <row r="153" ht="15.75" customHeight="1" s="19">
      <c r="A153" s="3" t="n">
        <v>27</v>
      </c>
      <c r="B153" s="3" t="inlineStr">
        <is>
          <t>Palladium hydroxide</t>
        </is>
      </c>
      <c r="C153" s="3" t="inlineStr">
        <is>
          <t>12135-22-7</t>
        </is>
      </c>
      <c r="D153" s="8" t="inlineStr">
        <is>
          <t>284390</t>
        </is>
      </c>
      <c r="E153" s="3" t="inlineStr">
        <is>
          <t>Precious Metal Compound</t>
        </is>
      </c>
      <c r="F153" s="3" t="inlineStr">
        <is>
          <t>High</t>
        </is>
      </c>
      <c r="G153" s="3" t="inlineStr">
        <is>
          <t>Electronics, jewelry refining</t>
        </is>
      </c>
      <c r="H153" s="3" t="inlineStr">
        <is>
          <t>Electroplating, catalysis</t>
        </is>
      </c>
      <c r="I153" s="3" t="inlineStr">
        <is>
          <t>Active</t>
        </is>
      </c>
      <c r="J153" s="3" t="inlineStr">
        <is>
          <t>Noble Metal Salt</t>
        </is>
      </c>
    </row>
    <row r="154" ht="15.75" customHeight="1" s="19">
      <c r="A154" s="3" t="n">
        <v>28</v>
      </c>
      <c r="B154" s="3" t="inlineStr">
        <is>
          <t>Ammonium tetrafluoroborate</t>
        </is>
      </c>
      <c r="C154" s="3" t="inlineStr">
        <is>
          <t>13826-83-0</t>
        </is>
      </c>
      <c r="D154" s="8" t="inlineStr">
        <is>
          <t>284019</t>
        </is>
      </c>
      <c r="E154" s="3" t="inlineStr">
        <is>
          <t>Ammonium Salt</t>
        </is>
      </c>
      <c r="F154" s="3" t="inlineStr">
        <is>
          <t>High</t>
        </is>
      </c>
      <c r="G154" s="3" t="inlineStr">
        <is>
          <t>Analytical chemistry, etching</t>
        </is>
      </c>
      <c r="H154" s="3" t="inlineStr">
        <is>
          <t>Fertilizers, water treatment</t>
        </is>
      </c>
      <c r="I154" s="3" t="inlineStr">
        <is>
          <t>Bulk</t>
        </is>
      </c>
      <c r="J154" s="3" t="inlineStr">
        <is>
          <t>Inorganic Ammonium Salt</t>
        </is>
      </c>
    </row>
    <row r="155" ht="15.75" customHeight="1" s="19">
      <c r="A155" s="3" t="n">
        <v>29</v>
      </c>
      <c r="B155" s="3" t="inlineStr">
        <is>
          <t>Cadmium Iodide</t>
        </is>
      </c>
      <c r="C155" s="3" t="inlineStr">
        <is>
          <t>7790-80-9</t>
        </is>
      </c>
      <c r="D155" s="8" t="inlineStr">
        <is>
          <t>282760</t>
        </is>
      </c>
      <c r="E155" s="3" t="inlineStr">
        <is>
          <t>Cadmium Compound</t>
        </is>
      </c>
      <c r="F155" s="3" t="inlineStr">
        <is>
          <t>High</t>
        </is>
      </c>
      <c r="G155" s="3" t="inlineStr">
        <is>
          <t>Batteries (NiCd), pigments</t>
        </is>
      </c>
      <c r="H155" s="3" t="inlineStr">
        <is>
          <t>Electroplating, alloys</t>
        </is>
      </c>
      <c r="I155" s="3" t="inlineStr">
        <is>
          <t>Active</t>
        </is>
      </c>
      <c r="J155" s="3" t="inlineStr">
        <is>
          <t>Heavy Metal Salt</t>
        </is>
      </c>
    </row>
    <row r="156" ht="15.75" customHeight="1" s="19">
      <c r="A156" s="3" t="n">
        <v>30</v>
      </c>
      <c r="B156" s="3" t="inlineStr">
        <is>
          <t>Ammonium Iodide</t>
        </is>
      </c>
      <c r="C156" s="3" t="inlineStr">
        <is>
          <t>12027-06-4</t>
        </is>
      </c>
      <c r="D156" s="8" t="inlineStr">
        <is>
          <t>282760</t>
        </is>
      </c>
      <c r="E156" s="3" t="inlineStr">
        <is>
          <t>Ammonium Salt</t>
        </is>
      </c>
      <c r="F156" s="3" t="inlineStr">
        <is>
          <t>High</t>
        </is>
      </c>
      <c r="G156" s="3" t="inlineStr">
        <is>
          <t>Analytical chemistry, etching</t>
        </is>
      </c>
      <c r="H156" s="3" t="inlineStr">
        <is>
          <t>Fertilizers, water treatment</t>
        </is>
      </c>
      <c r="I156" s="3" t="inlineStr">
        <is>
          <t>Bulk</t>
        </is>
      </c>
      <c r="J156" s="3" t="inlineStr">
        <is>
          <t>Inorganic Ammonium Salt</t>
        </is>
      </c>
    </row>
    <row r="157" ht="15.75" customHeight="1" s="19">
      <c r="A157" s="3" t="n">
        <v>31</v>
      </c>
      <c r="B157" s="3" t="inlineStr">
        <is>
          <t>2-Methylallylmagnesium chloride</t>
        </is>
      </c>
      <c r="C157" s="3" t="inlineStr">
        <is>
          <t>5674-01-1</t>
        </is>
      </c>
      <c r="D157" s="8" t="inlineStr">
        <is>
          <t>293190</t>
        </is>
      </c>
      <c r="E157" s="3" t="inlineStr">
        <is>
          <t>Grignard Reagent</t>
        </is>
      </c>
      <c r="F157" s="3" t="inlineStr">
        <is>
          <t>High</t>
        </is>
      </c>
      <c r="G157" s="3" t="inlineStr">
        <is>
          <t>Pharmaceutical synthesis</t>
        </is>
      </c>
      <c r="H157" s="3" t="inlineStr">
        <is>
          <t>Fine chemical manufacturing</t>
        </is>
      </c>
      <c r="I157" s="3" t="inlineStr">
        <is>
          <t>Active</t>
        </is>
      </c>
      <c r="J157" s="3" t="inlineStr">
        <is>
          <t>Organometallic Reagent</t>
        </is>
      </c>
    </row>
    <row r="158" ht="15.75" customHeight="1" s="19">
      <c r="A158" s="3" t="n">
        <v>32</v>
      </c>
      <c r="B158" s="3" t="inlineStr">
        <is>
          <t>Dibutyl Butyl Phosphonate</t>
        </is>
      </c>
      <c r="C158" s="3" t="inlineStr">
        <is>
          <t>78-46-6</t>
        </is>
      </c>
      <c r="D158" s="8" t="inlineStr">
        <is>
          <t>291990</t>
        </is>
      </c>
      <c r="E158" s="3" t="inlineStr">
        <is>
          <t>Phosphorus Compound</t>
        </is>
      </c>
      <c r="F158" s="3" t="inlineStr">
        <is>
          <t>High</t>
        </is>
      </c>
      <c r="G158" s="3" t="inlineStr">
        <is>
          <t>Analytical reagent, catalysis</t>
        </is>
      </c>
      <c r="H158" s="3" t="inlineStr">
        <is>
          <t>Flame retardants</t>
        </is>
      </c>
      <c r="I158" s="3" t="inlineStr">
        <is>
          <t>Active</t>
        </is>
      </c>
      <c r="J158" s="3" t="inlineStr">
        <is>
          <t>Phosphorus / Phosphonate</t>
        </is>
      </c>
    </row>
    <row r="159" ht="15.75" customHeight="1" s="19">
      <c r="A159" s="3" t="n">
        <v>33</v>
      </c>
      <c r="B159" s="3" t="inlineStr">
        <is>
          <t>Cadmium Bromide Anhydrous</t>
        </is>
      </c>
      <c r="C159" s="3" t="inlineStr">
        <is>
          <t>7789-42-6</t>
        </is>
      </c>
      <c r="D159" s="8" t="inlineStr">
        <is>
          <t>282759</t>
        </is>
      </c>
      <c r="E159" s="3" t="inlineStr">
        <is>
          <t>Cadmium Compound</t>
        </is>
      </c>
      <c r="F159" s="3" t="inlineStr">
        <is>
          <t>High</t>
        </is>
      </c>
      <c r="G159" s="3" t="inlineStr">
        <is>
          <t>Batteries (NiCd), pigments</t>
        </is>
      </c>
      <c r="H159" s="3" t="inlineStr">
        <is>
          <t>Electroplating, alloys</t>
        </is>
      </c>
      <c r="I159" s="3" t="inlineStr">
        <is>
          <t>Active</t>
        </is>
      </c>
      <c r="J159" s="3" t="inlineStr">
        <is>
          <t>Heavy Metal Salt</t>
        </is>
      </c>
    </row>
    <row r="160" ht="15.75" customHeight="1" s="19">
      <c r="A160" s="3" t="n">
        <v>34</v>
      </c>
      <c r="B160" s="3" t="inlineStr">
        <is>
          <t>Ferrovanadium</t>
        </is>
      </c>
      <c r="C160" s="3" t="inlineStr">
        <is>
          <t>12604-58-9</t>
        </is>
      </c>
      <c r="D160" s="8" t="inlineStr">
        <is>
          <t>720292</t>
        </is>
      </c>
      <c r="E160" s="3" t="inlineStr">
        <is>
          <t>Iron / Ferro Compound</t>
        </is>
      </c>
      <c r="F160" s="3" t="inlineStr">
        <is>
          <t>High</t>
        </is>
      </c>
      <c r="G160" s="3" t="inlineStr">
        <is>
          <t>Steel alloying, pigments</t>
        </is>
      </c>
      <c r="H160" s="3" t="inlineStr">
        <is>
          <t>Water treatment, catalysis</t>
        </is>
      </c>
      <c r="I160" s="3" t="inlineStr">
        <is>
          <t>Bulk</t>
        </is>
      </c>
      <c r="J160" s="3" t="inlineStr">
        <is>
          <t>Transition Metal / Alloy</t>
        </is>
      </c>
    </row>
    <row r="161" ht="15.75" customHeight="1" s="19">
      <c r="A161" s="3" t="n">
        <v>35</v>
      </c>
      <c r="B161" s="3" t="inlineStr">
        <is>
          <t>p-Tolyl Magnesium Bromide</t>
        </is>
      </c>
      <c r="C161" s="3" t="inlineStr">
        <is>
          <t>4294-57-9</t>
        </is>
      </c>
      <c r="D161" s="8" t="inlineStr">
        <is>
          <t>293190</t>
        </is>
      </c>
      <c r="E161" s="3" t="inlineStr">
        <is>
          <t>Grignard Reagent</t>
        </is>
      </c>
      <c r="F161" s="3" t="inlineStr">
        <is>
          <t>High</t>
        </is>
      </c>
      <c r="G161" s="3" t="inlineStr">
        <is>
          <t>Pharmaceutical synthesis</t>
        </is>
      </c>
      <c r="H161" s="3" t="inlineStr">
        <is>
          <t>Fine chemical manufacturing</t>
        </is>
      </c>
      <c r="I161" s="3" t="inlineStr">
        <is>
          <t>Active</t>
        </is>
      </c>
      <c r="J161" s="3" t="inlineStr">
        <is>
          <t>Organometallic Reagent</t>
        </is>
      </c>
    </row>
    <row r="162" ht="15.75" customHeight="1" s="19">
      <c r="A162" s="3" t="n">
        <v>36</v>
      </c>
      <c r="B162" s="3" t="inlineStr">
        <is>
          <t>Dichlorobis(di-tert-butylphenylphosphine)palladium(II)</t>
        </is>
      </c>
      <c r="C162" s="3" t="inlineStr">
        <is>
          <t>34409-44-4</t>
        </is>
      </c>
      <c r="D162" s="8" t="inlineStr">
        <is>
          <t>284390</t>
        </is>
      </c>
      <c r="E162" s="3" t="inlineStr">
        <is>
          <t>Organometallic Catalyst</t>
        </is>
      </c>
      <c r="F162" s="3" t="inlineStr">
        <is>
          <t>High</t>
        </is>
      </c>
      <c r="G162" s="3" t="inlineStr">
        <is>
          <t>Cross-coupling reactions (pharma synthesis)</t>
        </is>
      </c>
      <c r="H162" s="3" t="inlineStr">
        <is>
          <t>Catalytic hydrogenation</t>
        </is>
      </c>
      <c r="I162" s="3" t="inlineStr">
        <is>
          <t>Active</t>
        </is>
      </c>
      <c r="J162" s="3" t="inlineStr">
        <is>
          <t>Homogeneous Catalyst</t>
        </is>
      </c>
    </row>
    <row r="163" ht="15.75" customHeight="1" s="19">
      <c r="A163" s="3" t="n">
        <v>37</v>
      </c>
      <c r="B163" s="3" t="inlineStr">
        <is>
          <t>Sodium tetrachloroaurate</t>
        </is>
      </c>
      <c r="C163" s="3" t="inlineStr">
        <is>
          <t>15189-51-2</t>
        </is>
      </c>
      <c r="D163" s="8" t="inlineStr">
        <is>
          <t>284330</t>
        </is>
      </c>
      <c r="E163" s="3" t="inlineStr">
        <is>
          <t>Inorganic Metal Compound</t>
        </is>
      </c>
      <c r="F163" s="3" t="inlineStr">
        <is>
          <t>Medium</t>
        </is>
      </c>
      <c r="G163" s="3" t="inlineStr">
        <is>
          <t>Chemical synthesis, research</t>
        </is>
      </c>
      <c r="H163" s="3" t="inlineStr">
        <is>
          <t>Industrial applications</t>
        </is>
      </c>
      <c r="I163" s="3" t="inlineStr">
        <is>
          <t>Bulk</t>
        </is>
      </c>
      <c r="J163" s="3" t="inlineStr">
        <is>
          <t>Metal Salt / Compound</t>
        </is>
      </c>
    </row>
    <row r="164" ht="15.75" customHeight="1" s="19">
      <c r="A164" s="3" t="n">
        <v>38</v>
      </c>
      <c r="B164" s="3" t="inlineStr">
        <is>
          <t>Tetraamminepalladium(II) dichloride</t>
        </is>
      </c>
      <c r="C164" s="3" t="inlineStr">
        <is>
          <t>13815-17-3</t>
        </is>
      </c>
      <c r="D164" s="8" t="inlineStr">
        <is>
          <t>284390</t>
        </is>
      </c>
      <c r="E164" s="3" t="inlineStr">
        <is>
          <t>Organometallic Catalyst</t>
        </is>
      </c>
      <c r="F164" s="3" t="inlineStr">
        <is>
          <t>High</t>
        </is>
      </c>
      <c r="G164" s="3" t="inlineStr">
        <is>
          <t>Cross-coupling reactions (pharma synthesis)</t>
        </is>
      </c>
      <c r="H164" s="3" t="inlineStr">
        <is>
          <t>Catalytic hydrogenation</t>
        </is>
      </c>
      <c r="I164" s="3" t="inlineStr">
        <is>
          <t>Active</t>
        </is>
      </c>
      <c r="J164" s="3" t="inlineStr">
        <is>
          <t>Homogeneous Catalyst</t>
        </is>
      </c>
    </row>
    <row r="165" ht="15.75" customHeight="1" s="19">
      <c r="A165" s="3" t="n">
        <v>39</v>
      </c>
      <c r="B165" s="3" t="inlineStr">
        <is>
          <t>Palladium</t>
        </is>
      </c>
      <c r="C165" s="3" t="inlineStr">
        <is>
          <t>7440-05-3</t>
        </is>
      </c>
      <c r="D165" s="8" t="inlineStr">
        <is>
          <t>711021</t>
        </is>
      </c>
      <c r="E165" s="3" t="inlineStr">
        <is>
          <t>Precious Metal Compound</t>
        </is>
      </c>
      <c r="F165" s="3" t="inlineStr">
        <is>
          <t>High</t>
        </is>
      </c>
      <c r="G165" s="3" t="inlineStr">
        <is>
          <t>Electronics, jewelry refining</t>
        </is>
      </c>
      <c r="H165" s="3" t="inlineStr">
        <is>
          <t>Electroplating, catalysis</t>
        </is>
      </c>
      <c r="I165" s="3" t="inlineStr">
        <is>
          <t>Active</t>
        </is>
      </c>
      <c r="J165" s="3" t="inlineStr">
        <is>
          <t>Noble Metal Salt</t>
        </is>
      </c>
    </row>
    <row r="166" ht="15.75" customHeight="1" s="19">
      <c r="A166" s="3" t="n">
        <v>40</v>
      </c>
      <c r="B166" s="3" t="inlineStr">
        <is>
          <t>Bis(tricyclohexylphosphine)Palladium(0)</t>
        </is>
      </c>
      <c r="C166" s="3" t="inlineStr">
        <is>
          <t>33309-88-5</t>
        </is>
      </c>
      <c r="D166" s="8" t="inlineStr">
        <is>
          <t>284390</t>
        </is>
      </c>
      <c r="E166" s="3" t="inlineStr">
        <is>
          <t>Organometallic Catalyst</t>
        </is>
      </c>
      <c r="F166" s="3" t="inlineStr">
        <is>
          <t>High</t>
        </is>
      </c>
      <c r="G166" s="3" t="inlineStr">
        <is>
          <t>Cross-coupling reactions (pharma synthesis)</t>
        </is>
      </c>
      <c r="H166" s="3" t="inlineStr">
        <is>
          <t>Catalytic hydrogenation</t>
        </is>
      </c>
      <c r="I166" s="3" t="inlineStr">
        <is>
          <t>Active</t>
        </is>
      </c>
      <c r="J166" s="3" t="inlineStr">
        <is>
          <t>Homogeneous Catalyst</t>
        </is>
      </c>
    </row>
    <row r="167" ht="15.75" customHeight="1" s="19">
      <c r="A167" s="3" t="n">
        <v>41</v>
      </c>
      <c r="B167" s="3" t="inlineStr">
        <is>
          <t>Bis(triphenylphosphinepalladium) acetate</t>
        </is>
      </c>
      <c r="C167" s="3" t="inlineStr">
        <is>
          <t>14588-08-0</t>
        </is>
      </c>
      <c r="D167" s="8" t="inlineStr">
        <is>
          <t>284390</t>
        </is>
      </c>
      <c r="E167" s="3" t="inlineStr">
        <is>
          <t>Organometallic Catalyst</t>
        </is>
      </c>
      <c r="F167" s="3" t="inlineStr">
        <is>
          <t>High</t>
        </is>
      </c>
      <c r="G167" s="3" t="inlineStr">
        <is>
          <t>Cross-coupling reactions (pharma synthesis)</t>
        </is>
      </c>
      <c r="H167" s="3" t="inlineStr">
        <is>
          <t>Catalytic hydrogenation</t>
        </is>
      </c>
      <c r="I167" s="3" t="inlineStr">
        <is>
          <t>Active</t>
        </is>
      </c>
      <c r="J167" s="3" t="inlineStr">
        <is>
          <t>Homogeneous Catalyst</t>
        </is>
      </c>
    </row>
    <row r="168" ht="15.75" customHeight="1" s="19">
      <c r="A168" s="3" t="n">
        <v>42</v>
      </c>
      <c r="B168" s="3" t="inlineStr">
        <is>
          <t>Bis(2,4-pentanedionato-O,O&amp;#x27;)palladium(II)</t>
        </is>
      </c>
      <c r="C168" s="3" t="inlineStr">
        <is>
          <t>14024-61-4</t>
        </is>
      </c>
      <c r="D168" s="8" t="inlineStr">
        <is>
          <t>284390</t>
        </is>
      </c>
      <c r="E168" s="3" t="inlineStr">
        <is>
          <t>Organometallic Catalyst</t>
        </is>
      </c>
      <c r="F168" s="3" t="inlineStr">
        <is>
          <t>High</t>
        </is>
      </c>
      <c r="G168" s="3" t="inlineStr">
        <is>
          <t>Cross-coupling reactions (pharma synthesis)</t>
        </is>
      </c>
      <c r="H168" s="3" t="inlineStr">
        <is>
          <t>Catalytic hydrogenation</t>
        </is>
      </c>
      <c r="I168" s="3" t="inlineStr">
        <is>
          <t>Active</t>
        </is>
      </c>
      <c r="J168" s="3" t="inlineStr">
        <is>
          <t>Homogeneous Catalyst</t>
        </is>
      </c>
    </row>
    <row r="169" ht="15.75" customHeight="1" s="19">
      <c r="A169" s="3" t="n">
        <v>43</v>
      </c>
      <c r="B169" s="3" t="inlineStr">
        <is>
          <t>Bis(acetonitrile)palladium(II) Dichloride</t>
        </is>
      </c>
      <c r="C169" s="3" t="inlineStr">
        <is>
          <t>14592-56-4</t>
        </is>
      </c>
      <c r="D169" s="8" t="inlineStr">
        <is>
          <t>284390</t>
        </is>
      </c>
      <c r="E169" s="3" t="inlineStr">
        <is>
          <t>Organometallic Catalyst</t>
        </is>
      </c>
      <c r="F169" s="3" t="inlineStr">
        <is>
          <t>High</t>
        </is>
      </c>
      <c r="G169" s="3" t="inlineStr">
        <is>
          <t>Cross-coupling reactions (pharma synthesis)</t>
        </is>
      </c>
      <c r="H169" s="3" t="inlineStr">
        <is>
          <t>Catalytic hydrogenation</t>
        </is>
      </c>
      <c r="I169" s="3" t="inlineStr">
        <is>
          <t>Active</t>
        </is>
      </c>
      <c r="J169" s="3" t="inlineStr">
        <is>
          <t>Homogeneous Catalyst</t>
        </is>
      </c>
    </row>
    <row r="170" ht="15.75" customHeight="1" s="19">
      <c r="A170" s="3" t="n">
        <v>44</v>
      </c>
      <c r="B170" s="3" t="inlineStr">
        <is>
          <t>Iridium</t>
        </is>
      </c>
      <c r="C170" s="3" t="inlineStr">
        <is>
          <t>7439-88-5</t>
        </is>
      </c>
      <c r="D170" s="8" t="inlineStr">
        <is>
          <t>711031</t>
        </is>
      </c>
      <c r="E170" s="3" t="inlineStr">
        <is>
          <t>Precious Metal Compound</t>
        </is>
      </c>
      <c r="F170" s="3" t="inlineStr">
        <is>
          <t>High</t>
        </is>
      </c>
      <c r="G170" s="3" t="inlineStr">
        <is>
          <t>Electronics, jewelry refining</t>
        </is>
      </c>
      <c r="H170" s="3" t="inlineStr">
        <is>
          <t>Electroplating, catalysis</t>
        </is>
      </c>
      <c r="I170" s="3" t="inlineStr">
        <is>
          <t>Active</t>
        </is>
      </c>
      <c r="J170" s="3" t="inlineStr">
        <is>
          <t>Noble Metal Salt</t>
        </is>
      </c>
    </row>
    <row r="171" ht="15.75" customHeight="1" s="19">
      <c r="A171" s="3" t="n">
        <v>45</v>
      </c>
      <c r="B171" s="3" t="inlineStr">
        <is>
          <t>Gold monoiodide</t>
        </is>
      </c>
      <c r="C171" s="3" t="inlineStr">
        <is>
          <t>10294-31-2</t>
        </is>
      </c>
      <c r="D171" s="8" t="inlineStr">
        <is>
          <t>284330</t>
        </is>
      </c>
      <c r="E171" s="3" t="inlineStr">
        <is>
          <t>Precious Metal Compound</t>
        </is>
      </c>
      <c r="F171" s="3" t="inlineStr">
        <is>
          <t>High</t>
        </is>
      </c>
      <c r="G171" s="3" t="inlineStr">
        <is>
          <t>Electronics, jewelry refining</t>
        </is>
      </c>
      <c r="H171" s="3" t="inlineStr">
        <is>
          <t>Electroplating, catalysis</t>
        </is>
      </c>
      <c r="I171" s="3" t="inlineStr">
        <is>
          <t>Active</t>
        </is>
      </c>
      <c r="J171" s="3" t="inlineStr">
        <is>
          <t>Noble Metal Salt</t>
        </is>
      </c>
    </row>
    <row r="172" ht="15.75" customHeight="1" s="19">
      <c r="A172" s="3" t="n">
        <v>46</v>
      </c>
      <c r="B172" s="3" t="inlineStr">
        <is>
          <t>Potassium tetrachloroaurate(III)</t>
        </is>
      </c>
      <c r="C172" s="3" t="inlineStr">
        <is>
          <t>13682-61-6</t>
        </is>
      </c>
      <c r="D172" s="8" t="inlineStr">
        <is>
          <t>284330</t>
        </is>
      </c>
      <c r="E172" s="3" t="inlineStr">
        <is>
          <t>Potassium Salt</t>
        </is>
      </c>
      <c r="F172" s="3" t="inlineStr">
        <is>
          <t>High</t>
        </is>
      </c>
      <c r="G172" s="3" t="inlineStr">
        <is>
          <t>Analytical chemistry, synthesis</t>
        </is>
      </c>
      <c r="H172" s="3" t="inlineStr">
        <is>
          <t>Fertilizers, food industry</t>
        </is>
      </c>
      <c r="I172" s="3" t="inlineStr">
        <is>
          <t>Bulk</t>
        </is>
      </c>
      <c r="J172" s="3" t="inlineStr">
        <is>
          <t>Alkali Metal Salt</t>
        </is>
      </c>
    </row>
    <row r="173" ht="15.75" customHeight="1" s="19">
      <c r="A173" s="3" t="n">
        <v>47</v>
      </c>
      <c r="B173" s="3" t="inlineStr">
        <is>
          <t>Chloroauric acid hydrate</t>
        </is>
      </c>
      <c r="C173" s="3" t="inlineStr">
        <is>
          <t>27988-77-8</t>
        </is>
      </c>
      <c r="D173" s="8" t="inlineStr">
        <is>
          <t>284330</t>
        </is>
      </c>
      <c r="E173" s="3" t="inlineStr">
        <is>
          <t>Inorganic Metal Compound</t>
        </is>
      </c>
      <c r="F173" s="3" t="inlineStr">
        <is>
          <t>Medium</t>
        </is>
      </c>
      <c r="G173" s="3" t="inlineStr">
        <is>
          <t>Chemical synthesis, research</t>
        </is>
      </c>
      <c r="H173" s="3" t="inlineStr">
        <is>
          <t>Industrial applications</t>
        </is>
      </c>
      <c r="I173" s="3" t="inlineStr">
        <is>
          <t>Bulk</t>
        </is>
      </c>
      <c r="J173" s="3" t="inlineStr">
        <is>
          <t>Metal Salt / Compound</t>
        </is>
      </c>
    </row>
    <row r="174" ht="15.75" customHeight="1" s="19">
      <c r="A174" s="3" t="n">
        <v>48</v>
      </c>
      <c r="B174" s="3" t="inlineStr">
        <is>
          <t>gold(I) chloride</t>
        </is>
      </c>
      <c r="C174" s="3" t="inlineStr">
        <is>
          <t>10294-29-8</t>
        </is>
      </c>
      <c r="D174" s="8" t="inlineStr">
        <is>
          <t>284330</t>
        </is>
      </c>
      <c r="E174" s="3" t="inlineStr">
        <is>
          <t>Precious Metal Compound</t>
        </is>
      </c>
      <c r="F174" s="3" t="inlineStr">
        <is>
          <t>High</t>
        </is>
      </c>
      <c r="G174" s="3" t="inlineStr">
        <is>
          <t>Electronics, jewelry refining</t>
        </is>
      </c>
      <c r="H174" s="3" t="inlineStr">
        <is>
          <t>Electroplating, catalysis</t>
        </is>
      </c>
      <c r="I174" s="3" t="inlineStr">
        <is>
          <t>Active</t>
        </is>
      </c>
      <c r="J174" s="3" t="inlineStr">
        <is>
          <t>Noble Metal Salt</t>
        </is>
      </c>
    </row>
    <row r="175" ht="15.75" customHeight="1" s="19">
      <c r="A175" s="3" t="n">
        <v>49</v>
      </c>
      <c r="B175" s="3" t="inlineStr">
        <is>
          <t>Gold</t>
        </is>
      </c>
      <c r="C175" s="3" t="inlineStr">
        <is>
          <t>7440-57-5</t>
        </is>
      </c>
      <c r="D175" s="8" t="inlineStr">
        <is>
          <t>710812</t>
        </is>
      </c>
      <c r="E175" s="3" t="inlineStr">
        <is>
          <t>Precious Metal Compound</t>
        </is>
      </c>
      <c r="F175" s="3" t="inlineStr">
        <is>
          <t>High</t>
        </is>
      </c>
      <c r="G175" s="3" t="inlineStr">
        <is>
          <t>Electronics, jewelry refining</t>
        </is>
      </c>
      <c r="H175" s="3" t="inlineStr">
        <is>
          <t>Electroplating, catalysis</t>
        </is>
      </c>
      <c r="I175" s="3" t="inlineStr">
        <is>
          <t>Active</t>
        </is>
      </c>
      <c r="J175" s="3" t="inlineStr">
        <is>
          <t>Noble Metal Salt</t>
        </is>
      </c>
    </row>
    <row r="176" ht="15.75" customHeight="1" s="19">
      <c r="A176" s="3" t="n">
        <v>50</v>
      </c>
      <c r="B176" s="3" t="inlineStr">
        <is>
          <t>Silver sulfate</t>
        </is>
      </c>
      <c r="C176" s="3" t="inlineStr">
        <is>
          <t>10294-26-5</t>
        </is>
      </c>
      <c r="D176" s="8" t="inlineStr">
        <is>
          <t>284329</t>
        </is>
      </c>
      <c r="E176" s="3" t="inlineStr">
        <is>
          <t>Silver Compound</t>
        </is>
      </c>
      <c r="F176" s="3" t="inlineStr">
        <is>
          <t>High</t>
        </is>
      </c>
      <c r="G176" s="3" t="inlineStr">
        <is>
          <t>Photography, electronics</t>
        </is>
      </c>
      <c r="H176" s="3" t="inlineStr">
        <is>
          <t>Antimicrobial applications</t>
        </is>
      </c>
      <c r="I176" s="3" t="inlineStr">
        <is>
          <t>Active</t>
        </is>
      </c>
      <c r="J176" s="3" t="inlineStr">
        <is>
          <t>Precious Metal Salt</t>
        </is>
      </c>
    </row>
    <row r="177" ht="15.75" customHeight="1" s="19">
      <c r="A177" s="3" t="n">
        <v>51</v>
      </c>
      <c r="B177" s="3" t="inlineStr">
        <is>
          <t>Silver lactate</t>
        </is>
      </c>
      <c r="C177" s="3" t="inlineStr">
        <is>
          <t>15768-18-0</t>
        </is>
      </c>
      <c r="D177" s="8" t="inlineStr">
        <is>
          <t>284329</t>
        </is>
      </c>
      <c r="E177" s="3" t="inlineStr">
        <is>
          <t>Silver Compound</t>
        </is>
      </c>
      <c r="F177" s="3" t="inlineStr">
        <is>
          <t>High</t>
        </is>
      </c>
      <c r="G177" s="3" t="inlineStr">
        <is>
          <t>Photography, electronics</t>
        </is>
      </c>
      <c r="H177" s="3" t="inlineStr">
        <is>
          <t>Antimicrobial applications</t>
        </is>
      </c>
      <c r="I177" s="3" t="inlineStr">
        <is>
          <t>Active</t>
        </is>
      </c>
      <c r="J177" s="3" t="inlineStr">
        <is>
          <t>Precious Metal Salt</t>
        </is>
      </c>
    </row>
    <row r="178" ht="15.75" customHeight="1" s="19">
      <c r="A178" s="3" t="n">
        <v>52</v>
      </c>
      <c r="B178" s="3" t="inlineStr">
        <is>
          <t>Silver carbonate</t>
        </is>
      </c>
      <c r="C178" s="3" t="inlineStr">
        <is>
          <t>534-16-7</t>
        </is>
      </c>
      <c r="D178" s="8" t="inlineStr">
        <is>
          <t>284329</t>
        </is>
      </c>
      <c r="E178" s="3" t="inlineStr">
        <is>
          <t>Silver Compound</t>
        </is>
      </c>
      <c r="F178" s="3" t="inlineStr">
        <is>
          <t>High</t>
        </is>
      </c>
      <c r="G178" s="3" t="inlineStr">
        <is>
          <t>Photography, electronics</t>
        </is>
      </c>
      <c r="H178" s="3" t="inlineStr">
        <is>
          <t>Antimicrobial applications</t>
        </is>
      </c>
      <c r="I178" s="3" t="inlineStr">
        <is>
          <t>Active</t>
        </is>
      </c>
      <c r="J178" s="3" t="inlineStr">
        <is>
          <t>Precious Metal Salt</t>
        </is>
      </c>
    </row>
    <row r="179" ht="15.75" customHeight="1" s="19">
      <c r="A179" s="3" t="n">
        <v>53</v>
      </c>
      <c r="B179" s="3" t="inlineStr">
        <is>
          <t>Silver acetate</t>
        </is>
      </c>
      <c r="C179" s="3" t="inlineStr">
        <is>
          <t>563-63-3</t>
        </is>
      </c>
      <c r="D179" s="8" t="inlineStr">
        <is>
          <t>284329</t>
        </is>
      </c>
      <c r="E179" s="3" t="inlineStr">
        <is>
          <t>Silver Compound</t>
        </is>
      </c>
      <c r="F179" s="3" t="inlineStr">
        <is>
          <t>High</t>
        </is>
      </c>
      <c r="G179" s="3" t="inlineStr">
        <is>
          <t>Photography, electronics</t>
        </is>
      </c>
      <c r="H179" s="3" t="inlineStr">
        <is>
          <t>Antimicrobial applications</t>
        </is>
      </c>
      <c r="I179" s="3" t="inlineStr">
        <is>
          <t>Active</t>
        </is>
      </c>
      <c r="J179" s="3" t="inlineStr">
        <is>
          <t>Precious Metal Salt</t>
        </is>
      </c>
    </row>
    <row r="180" ht="15.75" customHeight="1" s="19">
      <c r="A180" s="3" t="n">
        <v>54</v>
      </c>
      <c r="B180" s="3" t="inlineStr">
        <is>
          <t>Silver bromide</t>
        </is>
      </c>
      <c r="C180" s="3" t="inlineStr">
        <is>
          <t>7785-23-1</t>
        </is>
      </c>
      <c r="D180" s="8" t="inlineStr">
        <is>
          <t>284329</t>
        </is>
      </c>
      <c r="E180" s="3" t="inlineStr">
        <is>
          <t>Silver Compound</t>
        </is>
      </c>
      <c r="F180" s="3" t="inlineStr">
        <is>
          <t>High</t>
        </is>
      </c>
      <c r="G180" s="3" t="inlineStr">
        <is>
          <t>Photography, electronics</t>
        </is>
      </c>
      <c r="H180" s="3" t="inlineStr">
        <is>
          <t>Antimicrobial applications</t>
        </is>
      </c>
      <c r="I180" s="3" t="inlineStr">
        <is>
          <t>Active</t>
        </is>
      </c>
      <c r="J180" s="3" t="inlineStr">
        <is>
          <t>Precious Metal Salt</t>
        </is>
      </c>
    </row>
    <row r="181" ht="15.75" customHeight="1" s="19">
      <c r="A181" s="3" t="n">
        <v>55</v>
      </c>
      <c r="B181" s="3" t="inlineStr">
        <is>
          <t>Silver iodide</t>
        </is>
      </c>
      <c r="C181" s="3" t="inlineStr">
        <is>
          <t>7783-96-2</t>
        </is>
      </c>
      <c r="D181" s="8" t="inlineStr">
        <is>
          <t>284329</t>
        </is>
      </c>
      <c r="E181" s="3" t="inlineStr">
        <is>
          <t>Silver Compound</t>
        </is>
      </c>
      <c r="F181" s="3" t="inlineStr">
        <is>
          <t>High</t>
        </is>
      </c>
      <c r="G181" s="3" t="inlineStr">
        <is>
          <t>Photography, electronics</t>
        </is>
      </c>
      <c r="H181" s="3" t="inlineStr">
        <is>
          <t>Antimicrobial applications</t>
        </is>
      </c>
      <c r="I181" s="3" t="inlineStr">
        <is>
          <t>Active</t>
        </is>
      </c>
      <c r="J181" s="3" t="inlineStr">
        <is>
          <t>Precious Metal Salt</t>
        </is>
      </c>
    </row>
    <row r="182" ht="15.75" customHeight="1" s="19">
      <c r="A182" s="3" t="n">
        <v>56</v>
      </c>
      <c r="B182" s="3" t="inlineStr">
        <is>
          <t>Silver Chloride</t>
        </is>
      </c>
      <c r="C182" s="3" t="inlineStr">
        <is>
          <t>7783-90-6</t>
        </is>
      </c>
      <c r="D182" s="8" t="inlineStr">
        <is>
          <t>284329</t>
        </is>
      </c>
      <c r="E182" s="3" t="inlineStr">
        <is>
          <t>Silver Compound</t>
        </is>
      </c>
      <c r="F182" s="3" t="inlineStr">
        <is>
          <t>High</t>
        </is>
      </c>
      <c r="G182" s="3" t="inlineStr">
        <is>
          <t>Photography, electronics</t>
        </is>
      </c>
      <c r="H182" s="3" t="inlineStr">
        <is>
          <t>Antimicrobial applications</t>
        </is>
      </c>
      <c r="I182" s="3" t="inlineStr">
        <is>
          <t>Active</t>
        </is>
      </c>
      <c r="J182" s="3" t="inlineStr">
        <is>
          <t>Precious Metal Salt</t>
        </is>
      </c>
    </row>
    <row r="183" ht="15.75" customHeight="1" s="19">
      <c r="A183" s="3" t="n">
        <v>57</v>
      </c>
      <c r="B183" s="3" t="inlineStr">
        <is>
          <t>Rhodium(II) Octanoate Dimer</t>
        </is>
      </c>
      <c r="C183" s="3" t="inlineStr">
        <is>
          <t>73482-96-9</t>
        </is>
      </c>
      <c r="D183" s="8" t="inlineStr">
        <is>
          <t>284390</t>
        </is>
      </c>
      <c r="E183" s="3" t="inlineStr">
        <is>
          <t>Precious Metal Compound</t>
        </is>
      </c>
      <c r="F183" s="3" t="inlineStr">
        <is>
          <t>High</t>
        </is>
      </c>
      <c r="G183" s="3" t="inlineStr">
        <is>
          <t>Electronics, jewelry refining</t>
        </is>
      </c>
      <c r="H183" s="3" t="inlineStr">
        <is>
          <t>Electroplating, catalysis</t>
        </is>
      </c>
      <c r="I183" s="3" t="inlineStr">
        <is>
          <t>Active</t>
        </is>
      </c>
      <c r="J183" s="3" t="inlineStr">
        <is>
          <t>Noble Metal Salt</t>
        </is>
      </c>
    </row>
    <row r="184" ht="15.75" customHeight="1" s="19">
      <c r="A184" s="3" t="n">
        <v>58</v>
      </c>
      <c r="B184" s="3" t="inlineStr">
        <is>
          <t>Ammonium chloroplatinate</t>
        </is>
      </c>
      <c r="C184" s="3" t="inlineStr">
        <is>
          <t>16919-58-7</t>
        </is>
      </c>
      <c r="D184" s="8" t="inlineStr">
        <is>
          <t>284290</t>
        </is>
      </c>
      <c r="E184" s="3" t="inlineStr">
        <is>
          <t>Tin Compound</t>
        </is>
      </c>
      <c r="F184" s="3" t="inlineStr">
        <is>
          <t>High</t>
        </is>
      </c>
      <c r="G184" s="3" t="inlineStr">
        <is>
          <t>Soldering, tin plating</t>
        </is>
      </c>
      <c r="H184" s="3" t="inlineStr">
        <is>
          <t>Organotin catalysts, PVC stabilizers</t>
        </is>
      </c>
      <c r="I184" s="3" t="inlineStr">
        <is>
          <t>Bulk</t>
        </is>
      </c>
      <c r="J184" s="3" t="inlineStr">
        <is>
          <t>Post-transition Metal</t>
        </is>
      </c>
    </row>
    <row r="185" ht="15.75" customHeight="1" s="19">
      <c r="A185" s="3" t="n">
        <v>59</v>
      </c>
      <c r="B185" s="3" t="inlineStr">
        <is>
          <t>Palladium(II) bromide</t>
        </is>
      </c>
      <c r="C185" s="3" t="inlineStr">
        <is>
          <t>13444-94-5</t>
        </is>
      </c>
      <c r="D185" s="8" t="inlineStr">
        <is>
          <t>284390</t>
        </is>
      </c>
      <c r="E185" s="3" t="inlineStr">
        <is>
          <t>Precious Metal Compound</t>
        </is>
      </c>
      <c r="F185" s="3" t="inlineStr">
        <is>
          <t>High</t>
        </is>
      </c>
      <c r="G185" s="3" t="inlineStr">
        <is>
          <t>Electronics, jewelry refining</t>
        </is>
      </c>
      <c r="H185" s="3" t="inlineStr">
        <is>
          <t>Electroplating, catalysis</t>
        </is>
      </c>
      <c r="I185" s="3" t="inlineStr">
        <is>
          <t>Active</t>
        </is>
      </c>
      <c r="J185" s="3" t="inlineStr">
        <is>
          <t>Noble Metal Salt</t>
        </is>
      </c>
    </row>
    <row r="186" ht="15.75" customHeight="1" s="19">
      <c r="A186" s="3" t="n">
        <v>60</v>
      </c>
      <c r="B186" s="3" t="inlineStr">
        <is>
          <t>Palladium(2+);hexaacetate</t>
        </is>
      </c>
      <c r="C186" s="3" t="inlineStr">
        <is>
          <t>53189-26-7</t>
        </is>
      </c>
      <c r="D186" s="8" t="inlineStr">
        <is>
          <t>284390</t>
        </is>
      </c>
      <c r="E186" s="3" t="inlineStr">
        <is>
          <t>Precious Metal Compound</t>
        </is>
      </c>
      <c r="F186" s="3" t="inlineStr">
        <is>
          <t>High</t>
        </is>
      </c>
      <c r="G186" s="3" t="inlineStr">
        <is>
          <t>Electronics, jewelry refining</t>
        </is>
      </c>
      <c r="H186" s="3" t="inlineStr">
        <is>
          <t>Electroplating, catalysis</t>
        </is>
      </c>
      <c r="I186" s="3" t="inlineStr">
        <is>
          <t>Active</t>
        </is>
      </c>
      <c r="J186" s="3" t="inlineStr">
        <is>
          <t>Noble Metal Salt</t>
        </is>
      </c>
    </row>
    <row r="187" ht="15.75" customHeight="1" s="19">
      <c r="A187" s="3" t="n">
        <v>61</v>
      </c>
      <c r="B187" s="3" t="inlineStr">
        <is>
          <t>Sodium tetrachloropalladate(II)</t>
        </is>
      </c>
      <c r="C187" s="3" t="inlineStr">
        <is>
          <t>13820-53-6</t>
        </is>
      </c>
      <c r="D187" s="8" t="inlineStr">
        <is>
          <t>284290</t>
        </is>
      </c>
      <c r="E187" s="3" t="inlineStr">
        <is>
          <t>Inorganic Metal Compound</t>
        </is>
      </c>
      <c r="F187" s="3" t="inlineStr">
        <is>
          <t>Medium</t>
        </is>
      </c>
      <c r="G187" s="3" t="inlineStr">
        <is>
          <t>Chemical synthesis, research</t>
        </is>
      </c>
      <c r="H187" s="3" t="inlineStr">
        <is>
          <t>Industrial applications</t>
        </is>
      </c>
      <c r="I187" s="3" t="inlineStr">
        <is>
          <t>Bulk</t>
        </is>
      </c>
      <c r="J187" s="3" t="inlineStr">
        <is>
          <t>Metal Salt / Compound</t>
        </is>
      </c>
    </row>
    <row r="188" ht="15.75" customHeight="1" s="19">
      <c r="A188" s="3" t="n">
        <v>62</v>
      </c>
      <c r="B188" s="3" t="inlineStr">
        <is>
          <t>Ammonium tetrachloropalladate(II)</t>
        </is>
      </c>
      <c r="C188" s="3" t="inlineStr">
        <is>
          <t>13820-40-1</t>
        </is>
      </c>
      <c r="D188" s="8" t="inlineStr">
        <is>
          <t>284290</t>
        </is>
      </c>
      <c r="E188" s="3" t="inlineStr">
        <is>
          <t>Ammonium Salt</t>
        </is>
      </c>
      <c r="F188" s="3" t="inlineStr">
        <is>
          <t>High</t>
        </is>
      </c>
      <c r="G188" s="3" t="inlineStr">
        <is>
          <t>Analytical chemistry, etching</t>
        </is>
      </c>
      <c r="H188" s="3" t="inlineStr">
        <is>
          <t>Fertilizers, water treatment</t>
        </is>
      </c>
      <c r="I188" s="3" t="inlineStr">
        <is>
          <t>Bulk</t>
        </is>
      </c>
      <c r="J188" s="3" t="inlineStr">
        <is>
          <t>Inorganic Ammonium Salt</t>
        </is>
      </c>
    </row>
    <row r="189" ht="15.75" customHeight="1" s="19">
      <c r="A189" s="3" t="n">
        <v>63</v>
      </c>
      <c r="B189" s="3" t="inlineStr">
        <is>
          <t>Phenylmagnesium bromide</t>
        </is>
      </c>
      <c r="C189" s="3" t="inlineStr">
        <is>
          <t>100-58-3</t>
        </is>
      </c>
      <c r="D189" s="8" t="inlineStr">
        <is>
          <t>293190</t>
        </is>
      </c>
      <c r="E189" s="3" t="inlineStr">
        <is>
          <t>Grignard Reagent</t>
        </is>
      </c>
      <c r="F189" s="3" t="inlineStr">
        <is>
          <t>High</t>
        </is>
      </c>
      <c r="G189" s="3" t="inlineStr">
        <is>
          <t>Pharmaceutical synthesis</t>
        </is>
      </c>
      <c r="H189" s="3" t="inlineStr">
        <is>
          <t>Fine chemical manufacturing</t>
        </is>
      </c>
      <c r="I189" s="3" t="inlineStr">
        <is>
          <t>Active</t>
        </is>
      </c>
      <c r="J189" s="3" t="inlineStr">
        <is>
          <t>Organometallic Reagent</t>
        </is>
      </c>
    </row>
    <row r="190" ht="15.75" customHeight="1" s="19">
      <c r="A190" s="3" t="n">
        <v>64</v>
      </c>
      <c r="B190" s="3" t="inlineStr">
        <is>
          <t>Nickel nitrate</t>
        </is>
      </c>
      <c r="C190" s="3" t="inlineStr">
        <is>
          <t>13138-45-9</t>
        </is>
      </c>
      <c r="D190" s="8" t="inlineStr">
        <is>
          <t>283429</t>
        </is>
      </c>
      <c r="E190" s="3" t="inlineStr">
        <is>
          <t>Nickel Compound</t>
        </is>
      </c>
      <c r="F190" s="3" t="inlineStr">
        <is>
          <t>High</t>
        </is>
      </c>
      <c r="G190" s="3" t="inlineStr">
        <is>
          <t>Electroplating, batteries</t>
        </is>
      </c>
      <c r="H190" s="3" t="inlineStr">
        <is>
          <t>Catalysis, ceramics</t>
        </is>
      </c>
      <c r="I190" s="3" t="inlineStr">
        <is>
          <t>Bulk</t>
        </is>
      </c>
      <c r="J190" s="3" t="inlineStr">
        <is>
          <t>Transition Metal Salt</t>
        </is>
      </c>
    </row>
    <row r="191" ht="15.75" customHeight="1" s="19">
      <c r="A191" s="3" t="n">
        <v>65</v>
      </c>
      <c r="B191" s="3" t="inlineStr">
        <is>
          <t>Chromium Trioxide</t>
        </is>
      </c>
      <c r="C191" s="3" t="inlineStr">
        <is>
          <t>1333-82-0</t>
        </is>
      </c>
      <c r="D191" s="8" t="inlineStr">
        <is>
          <t>281900</t>
        </is>
      </c>
      <c r="E191" s="3" t="inlineStr">
        <is>
          <t>Chromium Compound</t>
        </is>
      </c>
      <c r="F191" s="3" t="inlineStr">
        <is>
          <t>High</t>
        </is>
      </c>
      <c r="G191" s="3" t="inlineStr">
        <is>
          <t>Electroplating, leather tanning</t>
        </is>
      </c>
      <c r="H191" s="3" t="inlineStr">
        <is>
          <t>Pigments, catalysis</t>
        </is>
      </c>
      <c r="I191" s="3" t="inlineStr">
        <is>
          <t>Bulk</t>
        </is>
      </c>
      <c r="J191" s="3" t="inlineStr">
        <is>
          <t>Transition Metal Salt</t>
        </is>
      </c>
    </row>
    <row r="192" ht="15.75" customHeight="1" s="19">
      <c r="A192" s="3" t="n">
        <v>66</v>
      </c>
      <c r="B192" s="3" t="inlineStr">
        <is>
          <t>Zinc acetate dihydrate</t>
        </is>
      </c>
      <c r="C192" s="3" t="inlineStr">
        <is>
          <t>5970-45-6</t>
        </is>
      </c>
      <c r="D192" s="8" t="inlineStr">
        <is>
          <t>291529</t>
        </is>
      </c>
      <c r="E192" s="3" t="inlineStr">
        <is>
          <t>Zinc Compound</t>
        </is>
      </c>
      <c r="F192" s="3" t="inlineStr">
        <is>
          <t>High</t>
        </is>
      </c>
      <c r="G192" s="3" t="inlineStr">
        <is>
          <t>Galvanizing, rubber vulcanization</t>
        </is>
      </c>
      <c r="H192" s="3" t="inlineStr">
        <is>
          <t>Fertilizers, pharmaceuticals</t>
        </is>
      </c>
      <c r="I192" s="3" t="inlineStr">
        <is>
          <t>Bulk</t>
        </is>
      </c>
      <c r="J192" s="3" t="inlineStr">
        <is>
          <t>Transition Metal Salt</t>
        </is>
      </c>
    </row>
    <row r="193" ht="15.75" customHeight="1" s="19">
      <c r="A193" s="3" t="n">
        <v>67</v>
      </c>
      <c r="B193" s="3" t="inlineStr">
        <is>
          <t>Cadmium Chloride</t>
        </is>
      </c>
      <c r="C193" s="3" t="inlineStr">
        <is>
          <t>10108-64-2</t>
        </is>
      </c>
      <c r="D193" s="8" t="inlineStr">
        <is>
          <t>282739</t>
        </is>
      </c>
      <c r="E193" s="3" t="inlineStr">
        <is>
          <t>Cadmium Compound</t>
        </is>
      </c>
      <c r="F193" s="3" t="inlineStr">
        <is>
          <t>High</t>
        </is>
      </c>
      <c r="G193" s="3" t="inlineStr">
        <is>
          <t>Batteries (NiCd), pigments</t>
        </is>
      </c>
      <c r="H193" s="3" t="inlineStr">
        <is>
          <t>Electroplating, alloys</t>
        </is>
      </c>
      <c r="I193" s="3" t="inlineStr">
        <is>
          <t>Active</t>
        </is>
      </c>
      <c r="J193" s="3" t="inlineStr">
        <is>
          <t>Heavy Metal Salt</t>
        </is>
      </c>
    </row>
    <row r="194" ht="15.75" customHeight="1" s="19">
      <c r="A194" s="3" t="n">
        <v>68</v>
      </c>
      <c r="B194" s="3" t="inlineStr">
        <is>
          <t>Palladium(II) chloride</t>
        </is>
      </c>
      <c r="C194" s="3" t="inlineStr">
        <is>
          <t>7647-10-1</t>
        </is>
      </c>
      <c r="D194" s="8" t="inlineStr">
        <is>
          <t>284390</t>
        </is>
      </c>
      <c r="E194" s="3" t="inlineStr">
        <is>
          <t>Precious Metal Compound</t>
        </is>
      </c>
      <c r="F194" s="3" t="inlineStr">
        <is>
          <t>High</t>
        </is>
      </c>
      <c r="G194" s="3" t="inlineStr">
        <is>
          <t>Electronics, jewelry refining</t>
        </is>
      </c>
      <c r="H194" s="3" t="inlineStr">
        <is>
          <t>Electroplating, catalysis</t>
        </is>
      </c>
      <c r="I194" s="3" t="inlineStr">
        <is>
          <t>Active</t>
        </is>
      </c>
      <c r="J194" s="3" t="inlineStr">
        <is>
          <t>Noble Metal Salt</t>
        </is>
      </c>
    </row>
    <row r="195" ht="15.75" customHeight="1" s="19">
      <c r="A195" s="3" t="n">
        <v>69</v>
      </c>
      <c r="B195" s="3" t="inlineStr">
        <is>
          <t>Silver Nitrate</t>
        </is>
      </c>
      <c r="C195" s="3" t="inlineStr">
        <is>
          <t>7761-88-8</t>
        </is>
      </c>
      <c r="D195" s="8" t="inlineStr">
        <is>
          <t>284329</t>
        </is>
      </c>
      <c r="E195" s="3" t="inlineStr">
        <is>
          <t>Silver Compound</t>
        </is>
      </c>
      <c r="F195" s="3" t="inlineStr">
        <is>
          <t>High</t>
        </is>
      </c>
      <c r="G195" s="3" t="inlineStr">
        <is>
          <t>Photography, electronics</t>
        </is>
      </c>
      <c r="H195" s="3" t="inlineStr">
        <is>
          <t>Antimicrobial applications</t>
        </is>
      </c>
      <c r="I195" s="3" t="inlineStr">
        <is>
          <t>Active</t>
        </is>
      </c>
      <c r="J195" s="3" t="inlineStr">
        <is>
          <t>Precious Metal Salt</t>
        </is>
      </c>
    </row>
    <row r="196" ht="15.75" customHeight="1" s="19">
      <c r="A196" s="3" t="n">
        <v>70</v>
      </c>
      <c r="B196" s="3" t="inlineStr">
        <is>
          <t>Nickel acetate</t>
        </is>
      </c>
      <c r="C196" s="3" t="inlineStr">
        <is>
          <t>373-02-4</t>
        </is>
      </c>
      <c r="D196" s="8" t="inlineStr">
        <is>
          <t>291529</t>
        </is>
      </c>
      <c r="E196" s="3" t="inlineStr">
        <is>
          <t>Nickel Compound</t>
        </is>
      </c>
      <c r="F196" s="3" t="inlineStr">
        <is>
          <t>High</t>
        </is>
      </c>
      <c r="G196" s="3" t="inlineStr">
        <is>
          <t>Electroplating, batteries</t>
        </is>
      </c>
      <c r="H196" s="3" t="inlineStr">
        <is>
          <t>Catalysis, ceramics</t>
        </is>
      </c>
      <c r="I196" s="3" t="inlineStr">
        <is>
          <t>Bulk</t>
        </is>
      </c>
      <c r="J196" s="3" t="inlineStr">
        <is>
          <t>Transition Metal Salt</t>
        </is>
      </c>
    </row>
    <row r="197" ht="15.75" customHeight="1" s="19">
      <c r="A197" s="3" t="n">
        <v>71</v>
      </c>
      <c r="B197" s="3" t="inlineStr">
        <is>
          <t>Copper monoxide</t>
        </is>
      </c>
      <c r="C197" s="3" t="inlineStr">
        <is>
          <t>1317-38-0</t>
        </is>
      </c>
      <c r="D197" s="8" t="inlineStr">
        <is>
          <t>282550</t>
        </is>
      </c>
      <c r="E197" s="3" t="inlineStr">
        <is>
          <t>Copper Compound</t>
        </is>
      </c>
      <c r="F197" s="3" t="inlineStr">
        <is>
          <t>High</t>
        </is>
      </c>
      <c r="G197" s="3" t="inlineStr">
        <is>
          <t>Electroplating, agrochemicals</t>
        </is>
      </c>
      <c r="H197" s="3" t="inlineStr">
        <is>
          <t>Catalysis, wood preservation</t>
        </is>
      </c>
      <c r="I197" s="3" t="inlineStr">
        <is>
          <t>Bulk</t>
        </is>
      </c>
      <c r="J197" s="3" t="inlineStr">
        <is>
          <t>Transition Metal Salt</t>
        </is>
      </c>
    </row>
    <row r="198" ht="15.75" customHeight="1" s="19">
      <c r="A198" s="3" t="n">
        <v>72</v>
      </c>
      <c r="B198" s="3" t="inlineStr">
        <is>
          <t>Sodium Dichromate</t>
        </is>
      </c>
      <c r="C198" s="3" t="inlineStr">
        <is>
          <t>10588-01-9</t>
        </is>
      </c>
      <c r="D198" s="8" t="inlineStr">
        <is>
          <t>284150</t>
        </is>
      </c>
      <c r="E198" s="3" t="inlineStr">
        <is>
          <t>Chromium Compound</t>
        </is>
      </c>
      <c r="F198" s="3" t="inlineStr">
        <is>
          <t>High</t>
        </is>
      </c>
      <c r="G198" s="3" t="inlineStr">
        <is>
          <t>Electroplating, leather tanning</t>
        </is>
      </c>
      <c r="H198" s="3" t="inlineStr">
        <is>
          <t>Pigments, catalysis</t>
        </is>
      </c>
      <c r="I198" s="3" t="inlineStr">
        <is>
          <t>Bulk</t>
        </is>
      </c>
      <c r="J198" s="3" t="inlineStr">
        <is>
          <t>Transition Metal Salt</t>
        </is>
      </c>
    </row>
    <row r="199" ht="15.75" customHeight="1" s="19">
      <c r="A199" s="3" t="n">
        <v>73</v>
      </c>
      <c r="B199" s="3" t="inlineStr">
        <is>
          <t>Copper Oxide</t>
        </is>
      </c>
      <c r="C199" s="3" t="inlineStr">
        <is>
          <t>1317-38-0</t>
        </is>
      </c>
      <c r="D199" s="8" t="inlineStr">
        <is>
          <t>282550</t>
        </is>
      </c>
      <c r="E199" s="3" t="inlineStr">
        <is>
          <t>Copper Compound</t>
        </is>
      </c>
      <c r="F199" s="3" t="inlineStr">
        <is>
          <t>High</t>
        </is>
      </c>
      <c r="G199" s="3" t="inlineStr">
        <is>
          <t>Electroplating, agrochemicals</t>
        </is>
      </c>
      <c r="H199" s="3" t="inlineStr">
        <is>
          <t>Catalysis, wood preservation</t>
        </is>
      </c>
      <c r="I199" s="3" t="inlineStr">
        <is>
          <t>Bulk</t>
        </is>
      </c>
      <c r="J199" s="3" t="inlineStr">
        <is>
          <t>Transition Metal Salt</t>
        </is>
      </c>
    </row>
    <row r="200" ht="15.75" customHeight="1" s="19">
      <c r="A200" s="3" t="n">
        <v>74</v>
      </c>
      <c r="B200" s="3" t="inlineStr">
        <is>
          <t>Cadmium Nitrate</t>
        </is>
      </c>
      <c r="C200" s="3" t="inlineStr">
        <is>
          <t>10325-94-7</t>
        </is>
      </c>
      <c r="D200" s="8" t="inlineStr">
        <is>
          <t>283429</t>
        </is>
      </c>
      <c r="E200" s="3" t="inlineStr">
        <is>
          <t>Cadmium Compound</t>
        </is>
      </c>
      <c r="F200" s="3" t="inlineStr">
        <is>
          <t>High</t>
        </is>
      </c>
      <c r="G200" s="3" t="inlineStr">
        <is>
          <t>Batteries (NiCd), pigments</t>
        </is>
      </c>
      <c r="H200" s="3" t="inlineStr">
        <is>
          <t>Electroplating, alloys</t>
        </is>
      </c>
      <c r="I200" s="3" t="inlineStr">
        <is>
          <t>Active</t>
        </is>
      </c>
      <c r="J200" s="3" t="inlineStr">
        <is>
          <t>Heavy Metal Salt</t>
        </is>
      </c>
    </row>
    <row r="201" ht="15.75" customHeight="1" s="19">
      <c r="A201" s="3" t="n">
        <v>75</v>
      </c>
      <c r="B201" s="3" t="inlineStr">
        <is>
          <t>Barium Oxalate</t>
        </is>
      </c>
      <c r="C201" s="3" t="inlineStr">
        <is>
          <t>516-02-9</t>
        </is>
      </c>
      <c r="D201" s="8" t="inlineStr">
        <is>
          <t>291711</t>
        </is>
      </c>
      <c r="E201" s="3" t="inlineStr">
        <is>
          <t>Barium Compound</t>
        </is>
      </c>
      <c r="F201" s="3" t="inlineStr">
        <is>
          <t>High</t>
        </is>
      </c>
      <c r="G201" s="3" t="inlineStr">
        <is>
          <t>Oil drilling fluids, ceramics</t>
        </is>
      </c>
      <c r="H201" s="3" t="inlineStr">
        <is>
          <t>Fireworks, pigments</t>
        </is>
      </c>
      <c r="I201" s="3" t="inlineStr">
        <is>
          <t>Bulk</t>
        </is>
      </c>
      <c r="J201" s="3" t="inlineStr">
        <is>
          <t>Alkaline Earth Metal Salt</t>
        </is>
      </c>
    </row>
    <row r="202" ht="15.75" customHeight="1" s="19">
      <c r="A202" s="3" t="n">
        <v>76</v>
      </c>
      <c r="B202" s="3" t="inlineStr">
        <is>
          <t>Nickel Sulphamate Solution</t>
        </is>
      </c>
      <c r="C202" s="3" t="inlineStr">
        <is>
          <t>13770-89-3</t>
        </is>
      </c>
      <c r="D202" s="8" t="inlineStr">
        <is>
          <t>283324</t>
        </is>
      </c>
      <c r="E202" s="3" t="inlineStr">
        <is>
          <t>Nickel Compound</t>
        </is>
      </c>
      <c r="F202" s="3" t="inlineStr">
        <is>
          <t>High</t>
        </is>
      </c>
      <c r="G202" s="3" t="inlineStr">
        <is>
          <t>Electroplating, batteries</t>
        </is>
      </c>
      <c r="H202" s="3" t="inlineStr">
        <is>
          <t>Catalysis, ceramics</t>
        </is>
      </c>
      <c r="I202" s="3" t="inlineStr">
        <is>
          <t>Bulk</t>
        </is>
      </c>
      <c r="J202" s="3" t="inlineStr">
        <is>
          <t>Transition Metal Salt</t>
        </is>
      </c>
    </row>
    <row r="203" ht="15.75" customHeight="1" s="19">
      <c r="A203" s="3" t="n">
        <v>77</v>
      </c>
      <c r="B203" s="3" t="inlineStr">
        <is>
          <t>Copper Carbonate</t>
        </is>
      </c>
      <c r="C203" s="3" t="inlineStr">
        <is>
          <t>1184-64-1</t>
        </is>
      </c>
      <c r="D203" s="8" t="inlineStr">
        <is>
          <t>283699</t>
        </is>
      </c>
      <c r="E203" s="3" t="inlineStr">
        <is>
          <t>Copper Compound</t>
        </is>
      </c>
      <c r="F203" s="3" t="inlineStr">
        <is>
          <t>High</t>
        </is>
      </c>
      <c r="G203" s="3" t="inlineStr">
        <is>
          <t>Electroplating, agrochemicals</t>
        </is>
      </c>
      <c r="H203" s="3" t="inlineStr">
        <is>
          <t>Catalysis, wood preservation</t>
        </is>
      </c>
      <c r="I203" s="3" t="inlineStr">
        <is>
          <t>Bulk</t>
        </is>
      </c>
      <c r="J203" s="3" t="inlineStr">
        <is>
          <t>Transition Metal Salt</t>
        </is>
      </c>
    </row>
    <row r="204" ht="15.75" customHeight="1" s="19">
      <c r="A204" s="3" t="n">
        <v>78</v>
      </c>
      <c r="B204" s="3" t="inlineStr">
        <is>
          <t>Copper Nitrate</t>
        </is>
      </c>
      <c r="C204" s="3" t="inlineStr">
        <is>
          <t>10031-43-3</t>
        </is>
      </c>
      <c r="D204" s="8" t="inlineStr">
        <is>
          <t>283429</t>
        </is>
      </c>
      <c r="E204" s="3" t="inlineStr">
        <is>
          <t>Copper Compound</t>
        </is>
      </c>
      <c r="F204" s="3" t="inlineStr">
        <is>
          <t>High</t>
        </is>
      </c>
      <c r="G204" s="3" t="inlineStr">
        <is>
          <t>Electroplating, agrochemicals</t>
        </is>
      </c>
      <c r="H204" s="3" t="inlineStr">
        <is>
          <t>Catalysis, wood preservation</t>
        </is>
      </c>
      <c r="I204" s="3" t="inlineStr">
        <is>
          <t>Bulk</t>
        </is>
      </c>
      <c r="J204" s="3" t="inlineStr">
        <is>
          <t>Transition Metal Salt</t>
        </is>
      </c>
    </row>
    <row r="205" ht="15.75" customHeight="1" s="19">
      <c r="A205" s="3" t="n">
        <v>79</v>
      </c>
      <c r="B205" s="3" t="inlineStr">
        <is>
          <t>Cadmium Acetate Anhydrous</t>
        </is>
      </c>
      <c r="C205" s="3" t="inlineStr">
        <is>
          <t>89759-80-8</t>
        </is>
      </c>
      <c r="D205" s="8" t="inlineStr">
        <is>
          <t>291529</t>
        </is>
      </c>
      <c r="E205" s="3" t="inlineStr">
        <is>
          <t>Cadmium Compound</t>
        </is>
      </c>
      <c r="F205" s="3" t="inlineStr">
        <is>
          <t>High</t>
        </is>
      </c>
      <c r="G205" s="3" t="inlineStr">
        <is>
          <t>Batteries (NiCd), pigments</t>
        </is>
      </c>
      <c r="H205" s="3" t="inlineStr">
        <is>
          <t>Electroplating, alloys</t>
        </is>
      </c>
      <c r="I205" s="3" t="inlineStr">
        <is>
          <t>Active</t>
        </is>
      </c>
      <c r="J205" s="3" t="inlineStr">
        <is>
          <t>Heavy Metal Salt</t>
        </is>
      </c>
    </row>
    <row r="206" ht="15.75" customHeight="1" s="19">
      <c r="A206" s="3" t="n">
        <v>80</v>
      </c>
      <c r="B206" s="3" t="inlineStr">
        <is>
          <t>Cadmium Bromide Tetrahydrate</t>
        </is>
      </c>
      <c r="C206" s="3" t="inlineStr">
        <is>
          <t>13464-92-1</t>
        </is>
      </c>
      <c r="D206" s="8" t="inlineStr">
        <is>
          <t>282759</t>
        </is>
      </c>
      <c r="E206" s="3" t="inlineStr">
        <is>
          <t>Cadmium Compound</t>
        </is>
      </c>
      <c r="F206" s="3" t="inlineStr">
        <is>
          <t>High</t>
        </is>
      </c>
      <c r="G206" s="3" t="inlineStr">
        <is>
          <t>Batteries (NiCd), pigments</t>
        </is>
      </c>
      <c r="H206" s="3" t="inlineStr">
        <is>
          <t>Electroplating, alloys</t>
        </is>
      </c>
      <c r="I206" s="3" t="inlineStr">
        <is>
          <t>Active</t>
        </is>
      </c>
      <c r="J206" s="3" t="inlineStr">
        <is>
          <t>Heavy Metal Salt</t>
        </is>
      </c>
    </row>
    <row r="207" ht="15.75" customHeight="1" s="19">
      <c r="A207" s="3" t="n">
        <v>81</v>
      </c>
      <c r="B207" s="3" t="inlineStr">
        <is>
          <t>Cadmium Chloride Anhydrous</t>
        </is>
      </c>
      <c r="C207" s="3" t="inlineStr">
        <is>
          <t>10108-64-2</t>
        </is>
      </c>
      <c r="D207" s="8" t="inlineStr">
        <is>
          <t>282739</t>
        </is>
      </c>
      <c r="E207" s="3" t="inlineStr">
        <is>
          <t>Cadmium Compound</t>
        </is>
      </c>
      <c r="F207" s="3" t="inlineStr">
        <is>
          <t>High</t>
        </is>
      </c>
      <c r="G207" s="3" t="inlineStr">
        <is>
          <t>Batteries (NiCd), pigments</t>
        </is>
      </c>
      <c r="H207" s="3" t="inlineStr">
        <is>
          <t>Electroplating, alloys</t>
        </is>
      </c>
      <c r="I207" s="3" t="inlineStr">
        <is>
          <t>Active</t>
        </is>
      </c>
      <c r="J207" s="3" t="inlineStr">
        <is>
          <t>Heavy Metal Salt</t>
        </is>
      </c>
    </row>
    <row r="208" ht="15.75" customHeight="1" s="19">
      <c r="A208" s="3" t="n">
        <v>82</v>
      </c>
      <c r="B208" s="3" t="inlineStr">
        <is>
          <t>Cadmium Acetate Dihydrate</t>
        </is>
      </c>
      <c r="C208" s="3" t="n"/>
      <c r="D208" s="8" t="inlineStr">
        <is>
          <t>291529</t>
        </is>
      </c>
      <c r="E208" s="3" t="inlineStr">
        <is>
          <t>Cadmium Compound</t>
        </is>
      </c>
      <c r="F208" s="3" t="inlineStr">
        <is>
          <t>High</t>
        </is>
      </c>
      <c r="G208" s="3" t="inlineStr">
        <is>
          <t>Batteries (NiCd), pigments</t>
        </is>
      </c>
      <c r="H208" s="3" t="inlineStr">
        <is>
          <t>Electroplating, alloys</t>
        </is>
      </c>
      <c r="I208" s="3" t="inlineStr">
        <is>
          <t>Active</t>
        </is>
      </c>
      <c r="J208" s="3" t="inlineStr">
        <is>
          <t>Heavy Metal Salt</t>
        </is>
      </c>
    </row>
    <row r="209" ht="15.75" customHeight="1" s="19">
      <c r="A209" s="3" t="n">
        <v>83</v>
      </c>
      <c r="B209" s="3" t="inlineStr">
        <is>
          <t>Cadmium Borate</t>
        </is>
      </c>
      <c r="C209" s="3" t="inlineStr">
        <is>
          <t>51222-60-7</t>
        </is>
      </c>
      <c r="D209" s="8" t="inlineStr">
        <is>
          <t>284019</t>
        </is>
      </c>
      <c r="E209" s="3" t="inlineStr">
        <is>
          <t>Cadmium Compound</t>
        </is>
      </c>
      <c r="F209" s="3" t="inlineStr">
        <is>
          <t>High</t>
        </is>
      </c>
      <c r="G209" s="3" t="inlineStr">
        <is>
          <t>Batteries (NiCd), pigments</t>
        </is>
      </c>
      <c r="H209" s="3" t="inlineStr">
        <is>
          <t>Electroplating, alloys</t>
        </is>
      </c>
      <c r="I209" s="3" t="inlineStr">
        <is>
          <t>Active</t>
        </is>
      </c>
      <c r="J209" s="3" t="inlineStr">
        <is>
          <t>Heavy Metal Salt</t>
        </is>
      </c>
    </row>
    <row r="210" ht="15.75" customHeight="1" s="19">
      <c r="A210" s="3" t="n">
        <v>84</v>
      </c>
      <c r="B210" s="3" t="inlineStr">
        <is>
          <t>Manganese (II) Fluoride</t>
        </is>
      </c>
      <c r="C210" s="3" t="inlineStr">
        <is>
          <t>7782-64-1</t>
        </is>
      </c>
      <c r="D210" s="8" t="inlineStr">
        <is>
          <t>282619</t>
        </is>
      </c>
      <c r="E210" s="3" t="inlineStr">
        <is>
          <t>Manganese Compound</t>
        </is>
      </c>
      <c r="F210" s="3" t="inlineStr">
        <is>
          <t>High</t>
        </is>
      </c>
      <c r="G210" s="3" t="inlineStr">
        <is>
          <t>Batteries, steel production</t>
        </is>
      </c>
      <c r="H210" s="3" t="inlineStr">
        <is>
          <t>Pigments, fertilizers</t>
        </is>
      </c>
      <c r="I210" s="3" t="inlineStr">
        <is>
          <t>Bulk</t>
        </is>
      </c>
      <c r="J210" s="3" t="inlineStr">
        <is>
          <t>Transition Metal Salt</t>
        </is>
      </c>
    </row>
    <row r="211" ht="15.75" customHeight="1" s="19">
      <c r="A211" s="3" t="n">
        <v>85</v>
      </c>
      <c r="B211" s="3" t="inlineStr">
        <is>
          <t>1,2Ethanediol Mono Potassium Salt</t>
        </is>
      </c>
      <c r="C211" s="3" t="inlineStr">
        <is>
          <t>23248-21-7</t>
        </is>
      </c>
      <c r="D211" s="8" t="inlineStr">
        <is>
          <t>290541</t>
        </is>
      </c>
      <c r="E211" s="3" t="inlineStr">
        <is>
          <t>Potassium Salt</t>
        </is>
      </c>
      <c r="F211" s="3" t="inlineStr">
        <is>
          <t>High</t>
        </is>
      </c>
      <c r="G211" s="3" t="inlineStr">
        <is>
          <t>Analytical chemistry, synthesis</t>
        </is>
      </c>
      <c r="H211" s="3" t="inlineStr">
        <is>
          <t>Fertilizers, food industry</t>
        </is>
      </c>
      <c r="I211" s="3" t="inlineStr">
        <is>
          <t>Bulk</t>
        </is>
      </c>
      <c r="J211" s="3" t="inlineStr">
        <is>
          <t>Alkali Metal Salt</t>
        </is>
      </c>
    </row>
    <row r="212" ht="15.75" customHeight="1" s="19">
      <c r="A212" s="3" t="n">
        <v>86</v>
      </c>
      <c r="B212" s="3" t="inlineStr">
        <is>
          <t>1-Propenyl Magnesium Bromide 0.5M in THF</t>
        </is>
      </c>
      <c r="C212" s="3" t="inlineStr">
        <is>
          <t>14092-04-7</t>
        </is>
      </c>
      <c r="D212" s="8" t="inlineStr">
        <is>
          <t>293190</t>
        </is>
      </c>
      <c r="E212" s="3" t="inlineStr">
        <is>
          <t>Grignard Reagent</t>
        </is>
      </c>
      <c r="F212" s="3" t="inlineStr">
        <is>
          <t>High</t>
        </is>
      </c>
      <c r="G212" s="3" t="inlineStr">
        <is>
          <t>Pharmaceutical synthesis</t>
        </is>
      </c>
      <c r="H212" s="3" t="inlineStr">
        <is>
          <t>Fine chemical manufacturing</t>
        </is>
      </c>
      <c r="I212" s="3" t="inlineStr">
        <is>
          <t>Active</t>
        </is>
      </c>
      <c r="J212" s="3" t="inlineStr">
        <is>
          <t>Organometallic Reagent</t>
        </is>
      </c>
    </row>
    <row r="213" ht="15.75" customHeight="1" s="19">
      <c r="A213" s="3" t="n">
        <v>87</v>
      </c>
      <c r="B213" s="3" t="inlineStr">
        <is>
          <t>Bismuth (III) Oxy Iodide</t>
        </is>
      </c>
      <c r="C213" s="3" t="inlineStr">
        <is>
          <t>7787-63-5</t>
        </is>
      </c>
      <c r="D213" s="8" t="inlineStr">
        <is>
          <t>282760</t>
        </is>
      </c>
      <c r="E213" s="3" t="inlineStr">
        <is>
          <t>Bismuth Compound</t>
        </is>
      </c>
      <c r="F213" s="3" t="inlineStr">
        <is>
          <t>High</t>
        </is>
      </c>
      <c r="G213" s="3" t="inlineStr">
        <is>
          <t>Pharmaceuticals, cosmetics (pearlescent)</t>
        </is>
      </c>
      <c r="H213" s="3" t="inlineStr">
        <is>
          <t>Lead-free solder, alloys</t>
        </is>
      </c>
      <c r="I213" s="3" t="inlineStr">
        <is>
          <t>Active</t>
        </is>
      </c>
      <c r="J213" s="3" t="inlineStr">
        <is>
          <t>Post-transition Metal Salt</t>
        </is>
      </c>
    </row>
    <row r="214" ht="15.75" customHeight="1" s="19">
      <c r="A214" s="3" t="n">
        <v>88</v>
      </c>
      <c r="B214" s="3" t="inlineStr">
        <is>
          <t>Bismuth (III) Perchlorate Oxide Hydrate</t>
        </is>
      </c>
      <c r="C214" s="3" t="inlineStr">
        <is>
          <t>66172-93-8</t>
        </is>
      </c>
      <c r="D214" s="8" t="inlineStr">
        <is>
          <t>282590</t>
        </is>
      </c>
      <c r="E214" s="3" t="inlineStr">
        <is>
          <t>Bismuth Compound</t>
        </is>
      </c>
      <c r="F214" s="3" t="inlineStr">
        <is>
          <t>High</t>
        </is>
      </c>
      <c r="G214" s="3" t="inlineStr">
        <is>
          <t>Pharmaceuticals, cosmetics (pearlescent)</t>
        </is>
      </c>
      <c r="H214" s="3" t="inlineStr">
        <is>
          <t>Lead-free solder, alloys</t>
        </is>
      </c>
      <c r="I214" s="3" t="inlineStr">
        <is>
          <t>Active</t>
        </is>
      </c>
      <c r="J214" s="3" t="inlineStr">
        <is>
          <t>Post-transition Metal Salt</t>
        </is>
      </c>
    </row>
    <row r="215" ht="15.75" customHeight="1" s="19">
      <c r="A215" s="3" t="n">
        <v>89</v>
      </c>
      <c r="B215" s="3" t="inlineStr">
        <is>
          <t>Copper Chloride</t>
        </is>
      </c>
      <c r="C215" s="3" t="inlineStr">
        <is>
          <t>7447-39-4</t>
        </is>
      </c>
      <c r="D215" s="8" t="inlineStr">
        <is>
          <t>282739</t>
        </is>
      </c>
      <c r="E215" s="3" t="inlineStr">
        <is>
          <t>Copper Compound</t>
        </is>
      </c>
      <c r="F215" s="3" t="inlineStr">
        <is>
          <t>High</t>
        </is>
      </c>
      <c r="G215" s="3" t="inlineStr">
        <is>
          <t>Electroplating, agrochemicals</t>
        </is>
      </c>
      <c r="H215" s="3" t="inlineStr">
        <is>
          <t>Catalysis, wood preservation</t>
        </is>
      </c>
      <c r="I215" s="3" t="inlineStr">
        <is>
          <t>Bulk</t>
        </is>
      </c>
      <c r="J215" s="3" t="inlineStr">
        <is>
          <t>Transition Metal Salt</t>
        </is>
      </c>
    </row>
    <row r="216" ht="15.75" customHeight="1" s="19">
      <c r="A216" s="3" t="n">
        <v>90</v>
      </c>
      <c r="B216" s="3" t="inlineStr">
        <is>
          <t>Manganese (II) Nitrate 50 % W/W</t>
        </is>
      </c>
      <c r="C216" s="3" t="inlineStr">
        <is>
          <t>10377-66-9</t>
        </is>
      </c>
      <c r="D216" s="8" t="inlineStr">
        <is>
          <t>283429</t>
        </is>
      </c>
      <c r="E216" s="3" t="inlineStr">
        <is>
          <t>Manganese Compound</t>
        </is>
      </c>
      <c r="F216" s="3" t="inlineStr">
        <is>
          <t>High</t>
        </is>
      </c>
      <c r="G216" s="3" t="inlineStr">
        <is>
          <t>Batteries, steel production</t>
        </is>
      </c>
      <c r="H216" s="3" t="inlineStr">
        <is>
          <t>Pigments, fertilizers</t>
        </is>
      </c>
      <c r="I216" s="3" t="inlineStr">
        <is>
          <t>Bulk</t>
        </is>
      </c>
      <c r="J216" s="3" t="inlineStr">
        <is>
          <t>Transition Metal Salt</t>
        </is>
      </c>
    </row>
    <row r="217" ht="15.75" customHeight="1" s="19">
      <c r="A217" s="3" t="n">
        <v>91</v>
      </c>
      <c r="B217" s="3" t="inlineStr">
        <is>
          <t>Potassium tetraborate</t>
        </is>
      </c>
      <c r="C217" s="3" t="inlineStr">
        <is>
          <t>12045-78-2</t>
        </is>
      </c>
      <c r="D217" s="8" t="inlineStr">
        <is>
          <t>284019</t>
        </is>
      </c>
      <c r="E217" s="3" t="inlineStr">
        <is>
          <t>Potassium Salt</t>
        </is>
      </c>
      <c r="F217" s="3" t="inlineStr">
        <is>
          <t>High</t>
        </is>
      </c>
      <c r="G217" s="3" t="inlineStr">
        <is>
          <t>Analytical chemistry, synthesis</t>
        </is>
      </c>
      <c r="H217" s="3" t="inlineStr">
        <is>
          <t>Fertilizers, food industry</t>
        </is>
      </c>
      <c r="I217" s="3" t="inlineStr">
        <is>
          <t>Bulk</t>
        </is>
      </c>
      <c r="J217" s="3" t="inlineStr">
        <is>
          <t>Alkali Metal Salt</t>
        </is>
      </c>
    </row>
    <row r="218" ht="15.75" customHeight="1" s="19">
      <c r="A218" s="3" t="n">
        <v>92</v>
      </c>
      <c r="B218" s="3" t="inlineStr">
        <is>
          <t>Neodymium Nitrate</t>
        </is>
      </c>
      <c r="C218" s="3" t="inlineStr">
        <is>
          <t>16454-60-7</t>
        </is>
      </c>
      <c r="D218" s="8" t="inlineStr">
        <is>
          <t>284610</t>
        </is>
      </c>
      <c r="E218" s="3" t="inlineStr">
        <is>
          <t>Rare Earth Compound</t>
        </is>
      </c>
      <c r="F218" s="3" t="inlineStr">
        <is>
          <t>High</t>
        </is>
      </c>
      <c r="G218" s="3" t="inlineStr">
        <is>
          <t>Electronics, catalysts, glass polishing</t>
        </is>
      </c>
      <c r="H218" s="3" t="inlineStr">
        <is>
          <t>Ceramics, phosphors</t>
        </is>
      </c>
      <c r="I218" s="3" t="inlineStr">
        <is>
          <t>Active</t>
        </is>
      </c>
      <c r="J218" s="3" t="inlineStr">
        <is>
          <t>Rare Earth Salt / Oxide</t>
        </is>
      </c>
    </row>
    <row r="219" ht="15.75" customHeight="1" s="19">
      <c r="A219" s="3" t="n">
        <v>93</v>
      </c>
      <c r="B219" s="3" t="inlineStr">
        <is>
          <t>Ammonium Zirconium Carbonate</t>
        </is>
      </c>
      <c r="C219" s="3" t="inlineStr">
        <is>
          <t>68309-95-5</t>
        </is>
      </c>
      <c r="D219" s="8" t="inlineStr">
        <is>
          <t>283699</t>
        </is>
      </c>
      <c r="E219" s="3" t="inlineStr">
        <is>
          <t>Ammonium Salt</t>
        </is>
      </c>
      <c r="F219" s="3" t="inlineStr">
        <is>
          <t>High</t>
        </is>
      </c>
      <c r="G219" s="3" t="inlineStr">
        <is>
          <t>Analytical chemistry, etching</t>
        </is>
      </c>
      <c r="H219" s="3" t="inlineStr">
        <is>
          <t>Fertilizers, water treatment</t>
        </is>
      </c>
      <c r="I219" s="3" t="inlineStr">
        <is>
          <t>Bulk</t>
        </is>
      </c>
      <c r="J219" s="3" t="inlineStr">
        <is>
          <t>Inorganic Ammonium Salt</t>
        </is>
      </c>
    </row>
    <row r="220" ht="15.75" customHeight="1" s="19">
      <c r="A220" s="3" t="n">
        <v>94</v>
      </c>
      <c r="B220" s="3" t="inlineStr">
        <is>
          <t>Lead (II) Nitrate</t>
        </is>
      </c>
      <c r="C220" s="3" t="inlineStr">
        <is>
          <t>10099-74-8</t>
        </is>
      </c>
      <c r="D220" s="8" t="inlineStr">
        <is>
          <t>283429</t>
        </is>
      </c>
      <c r="E220" s="3" t="inlineStr">
        <is>
          <t>Lead Compound</t>
        </is>
      </c>
      <c r="F220" s="3" t="inlineStr">
        <is>
          <t>High</t>
        </is>
      </c>
      <c r="G220" s="3" t="inlineStr">
        <is>
          <t>Batteries (lead-acid)</t>
        </is>
      </c>
      <c r="H220" s="3" t="inlineStr">
        <is>
          <t>Radiation shielding, glass</t>
        </is>
      </c>
      <c r="I220" s="3" t="inlineStr">
        <is>
          <t>Bulk</t>
        </is>
      </c>
      <c r="J220" s="3" t="inlineStr">
        <is>
          <t>Heavy Metal Salt</t>
        </is>
      </c>
    </row>
    <row r="221" ht="15.75" customHeight="1" s="19">
      <c r="A221" s="3" t="n">
        <v>95</v>
      </c>
      <c r="B221" s="3" t="inlineStr">
        <is>
          <t>Zinc Laurate</t>
        </is>
      </c>
      <c r="C221" s="3" t="inlineStr">
        <is>
          <t>2452-01-9</t>
        </is>
      </c>
      <c r="D221" s="8" t="inlineStr">
        <is>
          <t>284330</t>
        </is>
      </c>
      <c r="E221" s="3" t="inlineStr">
        <is>
          <t>Zinc Compound</t>
        </is>
      </c>
      <c r="F221" s="3" t="inlineStr">
        <is>
          <t>High</t>
        </is>
      </c>
      <c r="G221" s="3" t="inlineStr">
        <is>
          <t>Galvanizing, rubber vulcanization</t>
        </is>
      </c>
      <c r="H221" s="3" t="inlineStr">
        <is>
          <t>Fertilizers, pharmaceuticals</t>
        </is>
      </c>
      <c r="I221" s="3" t="inlineStr">
        <is>
          <t>Bulk</t>
        </is>
      </c>
      <c r="J221" s="3" t="inlineStr">
        <is>
          <t>Transition Metal Salt</t>
        </is>
      </c>
    </row>
    <row r="222" ht="15.75" customHeight="1" s="19">
      <c r="A222" s="3" t="n">
        <v>96</v>
      </c>
      <c r="B222" s="3" t="inlineStr">
        <is>
          <t>Ethynyl Magnesium Chloride Series</t>
        </is>
      </c>
      <c r="C222" s="3" t="inlineStr">
        <is>
          <t>65032-27-1</t>
        </is>
      </c>
      <c r="D222" s="8" t="inlineStr">
        <is>
          <t>293190</t>
        </is>
      </c>
      <c r="E222" s="3" t="inlineStr">
        <is>
          <t>Grignard Reagent</t>
        </is>
      </c>
      <c r="F222" s="3" t="inlineStr">
        <is>
          <t>High</t>
        </is>
      </c>
      <c r="G222" s="3" t="inlineStr">
        <is>
          <t>Pharmaceutical synthesis</t>
        </is>
      </c>
      <c r="H222" s="3" t="inlineStr">
        <is>
          <t>Fine chemical manufacturing</t>
        </is>
      </c>
      <c r="I222" s="3" t="inlineStr">
        <is>
          <t>Active</t>
        </is>
      </c>
      <c r="J222" s="3" t="inlineStr">
        <is>
          <t>Organometallic Reagent</t>
        </is>
      </c>
    </row>
    <row r="223" ht="15.75" customHeight="1" s="19">
      <c r="A223" s="3" t="n">
        <v>97</v>
      </c>
      <c r="B223" s="3" t="inlineStr">
        <is>
          <t>Lead (II) Bromide</t>
        </is>
      </c>
      <c r="C223" s="3" t="inlineStr">
        <is>
          <t>10031-22-8</t>
        </is>
      </c>
      <c r="D223" s="8" t="inlineStr">
        <is>
          <t>282759</t>
        </is>
      </c>
      <c r="E223" s="3" t="inlineStr">
        <is>
          <t>Lead Compound</t>
        </is>
      </c>
      <c r="F223" s="3" t="inlineStr">
        <is>
          <t>High</t>
        </is>
      </c>
      <c r="G223" s="3" t="inlineStr">
        <is>
          <t>Batteries (lead-acid)</t>
        </is>
      </c>
      <c r="H223" s="3" t="inlineStr">
        <is>
          <t>Radiation shielding, glass</t>
        </is>
      </c>
      <c r="I223" s="3" t="inlineStr">
        <is>
          <t>Bulk</t>
        </is>
      </c>
      <c r="J223" s="3" t="inlineStr">
        <is>
          <t>Heavy Metal Salt</t>
        </is>
      </c>
    </row>
    <row r="224" ht="15.75" customHeight="1" s="19">
      <c r="A224" s="3" t="n">
        <v>98</v>
      </c>
      <c r="B224" s="3" t="inlineStr">
        <is>
          <t>Lead (II) Carbonate</t>
        </is>
      </c>
      <c r="C224" s="3" t="inlineStr">
        <is>
          <t>598-63-0</t>
        </is>
      </c>
      <c r="D224" s="8" t="inlineStr">
        <is>
          <t>283699</t>
        </is>
      </c>
      <c r="E224" s="3" t="inlineStr">
        <is>
          <t>Lead Compound</t>
        </is>
      </c>
      <c r="F224" s="3" t="inlineStr">
        <is>
          <t>High</t>
        </is>
      </c>
      <c r="G224" s="3" t="inlineStr">
        <is>
          <t>Batteries (lead-acid)</t>
        </is>
      </c>
      <c r="H224" s="3" t="inlineStr">
        <is>
          <t>Radiation shielding, glass</t>
        </is>
      </c>
      <c r="I224" s="3" t="inlineStr">
        <is>
          <t>Bulk</t>
        </is>
      </c>
      <c r="J224" s="3" t="inlineStr">
        <is>
          <t>Heavy Metal Salt</t>
        </is>
      </c>
    </row>
    <row r="225" ht="15.75" customHeight="1" s="19">
      <c r="A225" s="3" t="n">
        <v>99</v>
      </c>
      <c r="B225" s="3" t="inlineStr">
        <is>
          <t>Selenium Dioxide Powder</t>
        </is>
      </c>
      <c r="C225" s="3" t="inlineStr">
        <is>
          <t>7446-08-4</t>
        </is>
      </c>
      <c r="D225" s="8" t="inlineStr">
        <is>
          <t>281190</t>
        </is>
      </c>
      <c r="E225" s="3" t="inlineStr">
        <is>
          <t>Metal Powder / Alloy</t>
        </is>
      </c>
      <c r="F225" s="3" t="inlineStr">
        <is>
          <t>High</t>
        </is>
      </c>
      <c r="G225" s="3" t="inlineStr">
        <is>
          <t>Powder metallurgy, additive manufacturing</t>
        </is>
      </c>
      <c r="H225" s="3" t="inlineStr">
        <is>
          <t>Thermal spray coatings</t>
        </is>
      </c>
      <c r="I225" s="3" t="inlineStr">
        <is>
          <t>Bulk</t>
        </is>
      </c>
      <c r="J225" s="3" t="inlineStr">
        <is>
          <t>Elemental Metal / Alloy</t>
        </is>
      </c>
    </row>
    <row r="226" ht="15.75" customHeight="1" s="19">
      <c r="A226" s="3" t="n">
        <v>100</v>
      </c>
      <c r="B226" s="3" t="inlineStr">
        <is>
          <t>Benzyl Zinc Bromide Series</t>
        </is>
      </c>
      <c r="C226" s="3" t="inlineStr">
        <is>
          <t>62673-31-8</t>
        </is>
      </c>
      <c r="D226" s="8" t="inlineStr">
        <is>
          <t>282759</t>
        </is>
      </c>
      <c r="E226" s="3" t="inlineStr">
        <is>
          <t>Zinc Compound</t>
        </is>
      </c>
      <c r="F226" s="3" t="inlineStr">
        <is>
          <t>High</t>
        </is>
      </c>
      <c r="G226" s="3" t="inlineStr">
        <is>
          <t>Galvanizing, rubber vulcanization</t>
        </is>
      </c>
      <c r="H226" s="3" t="inlineStr">
        <is>
          <t>Fertilizers, pharmaceuticals</t>
        </is>
      </c>
      <c r="I226" s="3" t="inlineStr">
        <is>
          <t>Bulk</t>
        </is>
      </c>
      <c r="J226" s="3" t="inlineStr">
        <is>
          <t>Transition Metal Salt</t>
        </is>
      </c>
    </row>
    <row r="227" ht="15.75" customHeight="1" s="19">
      <c r="A227" s="3" t="n">
        <v>101</v>
      </c>
      <c r="B227" s="3" t="inlineStr">
        <is>
          <t>Cyclohexyl Magnesium Bromide Series</t>
        </is>
      </c>
      <c r="C227" s="3" t="inlineStr">
        <is>
          <t>931-50-0</t>
        </is>
      </c>
      <c r="D227" s="8" t="inlineStr">
        <is>
          <t>293190</t>
        </is>
      </c>
      <c r="E227" s="3" t="inlineStr">
        <is>
          <t>Grignard Reagent</t>
        </is>
      </c>
      <c r="F227" s="3" t="inlineStr">
        <is>
          <t>High</t>
        </is>
      </c>
      <c r="G227" s="3" t="inlineStr">
        <is>
          <t>Pharmaceutical synthesis</t>
        </is>
      </c>
      <c r="H227" s="3" t="inlineStr">
        <is>
          <t>Fine chemical manufacturing</t>
        </is>
      </c>
      <c r="I227" s="3" t="inlineStr">
        <is>
          <t>Active</t>
        </is>
      </c>
      <c r="J227" s="3" t="inlineStr">
        <is>
          <t>Organometallic Reagent</t>
        </is>
      </c>
    </row>
    <row r="228" ht="15.75" customHeight="1" s="19">
      <c r="A228" s="3" t="n">
        <v>102</v>
      </c>
      <c r="B228" s="3" t="inlineStr">
        <is>
          <t>Phosphomolybdic Acid Powder</t>
        </is>
      </c>
      <c r="C228" s="3" t="inlineStr">
        <is>
          <t>51429-74-4</t>
        </is>
      </c>
      <c r="D228" s="8" t="inlineStr">
        <is>
          <t>284170</t>
        </is>
      </c>
      <c r="E228" s="3" t="inlineStr">
        <is>
          <t>Metal Powder / Alloy</t>
        </is>
      </c>
      <c r="F228" s="3" t="inlineStr">
        <is>
          <t>High</t>
        </is>
      </c>
      <c r="G228" s="3" t="inlineStr">
        <is>
          <t>Powder metallurgy, additive manufacturing</t>
        </is>
      </c>
      <c r="H228" s="3" t="inlineStr">
        <is>
          <t>Thermal spray coatings</t>
        </is>
      </c>
      <c r="I228" s="3" t="inlineStr">
        <is>
          <t>Bulk</t>
        </is>
      </c>
      <c r="J228" s="3" t="inlineStr">
        <is>
          <t>Elemental Metal / Alloy</t>
        </is>
      </c>
    </row>
    <row r="229" ht="15.75" customHeight="1" s="19">
      <c r="A229" s="3" t="n">
        <v>103</v>
      </c>
      <c r="B229" s="3" t="inlineStr">
        <is>
          <t>n-propyl Magnesium Bromide Series</t>
        </is>
      </c>
      <c r="C229" s="3" t="inlineStr">
        <is>
          <t>927-77-5</t>
        </is>
      </c>
      <c r="D229" s="8" t="inlineStr">
        <is>
          <t>293190</t>
        </is>
      </c>
      <c r="E229" s="3" t="inlineStr">
        <is>
          <t>Grignard Reagent</t>
        </is>
      </c>
      <c r="F229" s="3" t="inlineStr">
        <is>
          <t>High</t>
        </is>
      </c>
      <c r="G229" s="3" t="inlineStr">
        <is>
          <t>Pharmaceutical synthesis</t>
        </is>
      </c>
      <c r="H229" s="3" t="inlineStr">
        <is>
          <t>Fine chemical manufacturing</t>
        </is>
      </c>
      <c r="I229" s="3" t="inlineStr">
        <is>
          <t>Active</t>
        </is>
      </c>
      <c r="J229" s="3" t="inlineStr">
        <is>
          <t>Organometallic Reagent</t>
        </is>
      </c>
    </row>
    <row r="230" ht="15.75" customHeight="1" s="19">
      <c r="A230" s="3" t="n">
        <v>104</v>
      </c>
      <c r="B230" s="3" t="inlineStr">
        <is>
          <t>4-Chlolrophenyl Magnesium Bromide Series</t>
        </is>
      </c>
      <c r="C230" s="3" t="inlineStr">
        <is>
          <t>873-77-8</t>
        </is>
      </c>
      <c r="D230" s="8" t="inlineStr">
        <is>
          <t>293190</t>
        </is>
      </c>
      <c r="E230" s="3" t="inlineStr">
        <is>
          <t>Grignard Reagent</t>
        </is>
      </c>
      <c r="F230" s="3" t="inlineStr">
        <is>
          <t>High</t>
        </is>
      </c>
      <c r="G230" s="3" t="inlineStr">
        <is>
          <t>Pharmaceutical synthesis</t>
        </is>
      </c>
      <c r="H230" s="3" t="inlineStr">
        <is>
          <t>Fine chemical manufacturing</t>
        </is>
      </c>
      <c r="I230" s="3" t="inlineStr">
        <is>
          <t>Active</t>
        </is>
      </c>
      <c r="J230" s="3" t="inlineStr">
        <is>
          <t>Organometallic Reagent</t>
        </is>
      </c>
    </row>
    <row r="231" ht="15.75" customHeight="1" s="19">
      <c r="A231" s="3" t="n">
        <v>105</v>
      </c>
      <c r="B231" s="3" t="inlineStr">
        <is>
          <t>Cobalt Sulphate</t>
        </is>
      </c>
      <c r="C231" s="3" t="inlineStr">
        <is>
          <t>10124-43-3</t>
        </is>
      </c>
      <c r="D231" s="8" t="inlineStr">
        <is>
          <t>283329</t>
        </is>
      </c>
      <c r="E231" s="3" t="inlineStr">
        <is>
          <t>Cobalt Compound</t>
        </is>
      </c>
      <c r="F231" s="3" t="inlineStr">
        <is>
          <t>High</t>
        </is>
      </c>
      <c r="G231" s="3" t="inlineStr">
        <is>
          <t>Battery cathodes, catalysts</t>
        </is>
      </c>
      <c r="H231" s="3" t="inlineStr">
        <is>
          <t>Pigments, driers</t>
        </is>
      </c>
      <c r="I231" s="3" t="inlineStr">
        <is>
          <t>Active</t>
        </is>
      </c>
      <c r="J231" s="3" t="inlineStr">
        <is>
          <t>Transition Metal Salt</t>
        </is>
      </c>
    </row>
    <row r="232" ht="15.75" customHeight="1" s="19">
      <c r="A232" s="3" t="n">
        <v>106</v>
      </c>
      <c r="B232" s="3" t="inlineStr">
        <is>
          <t>Cyclopentyl Magnesium Chloride Series</t>
        </is>
      </c>
      <c r="C232" s="3" t="inlineStr">
        <is>
          <t>32916-51-1</t>
        </is>
      </c>
      <c r="D232" s="8" t="inlineStr">
        <is>
          <t>293190</t>
        </is>
      </c>
      <c r="E232" s="3" t="inlineStr">
        <is>
          <t>Grignard Reagent</t>
        </is>
      </c>
      <c r="F232" s="3" t="inlineStr">
        <is>
          <t>High</t>
        </is>
      </c>
      <c r="G232" s="3" t="inlineStr">
        <is>
          <t>Pharmaceutical synthesis</t>
        </is>
      </c>
      <c r="H232" s="3" t="inlineStr">
        <is>
          <t>Fine chemical manufacturing</t>
        </is>
      </c>
      <c r="I232" s="3" t="inlineStr">
        <is>
          <t>Active</t>
        </is>
      </c>
      <c r="J232" s="3" t="inlineStr">
        <is>
          <t>Organometallic Reagent</t>
        </is>
      </c>
    </row>
    <row r="233" ht="15.75" customHeight="1" s="19">
      <c r="A233" s="3" t="n">
        <v>107</v>
      </c>
      <c r="B233" s="3" t="inlineStr">
        <is>
          <t>Isopropyl Magnesium Chloride Series</t>
        </is>
      </c>
      <c r="C233" s="3" t="inlineStr">
        <is>
          <t>1068-55-9</t>
        </is>
      </c>
      <c r="D233" s="8" t="inlineStr">
        <is>
          <t>293190</t>
        </is>
      </c>
      <c r="E233" s="3" t="inlineStr">
        <is>
          <t>Grignard Reagent</t>
        </is>
      </c>
      <c r="F233" s="3" t="inlineStr">
        <is>
          <t>High</t>
        </is>
      </c>
      <c r="G233" s="3" t="inlineStr">
        <is>
          <t>Pharmaceutical synthesis</t>
        </is>
      </c>
      <c r="H233" s="3" t="inlineStr">
        <is>
          <t>Fine chemical manufacturing</t>
        </is>
      </c>
      <c r="I233" s="3" t="inlineStr">
        <is>
          <t>Active</t>
        </is>
      </c>
      <c r="J233" s="3" t="inlineStr">
        <is>
          <t>Organometallic Reagent</t>
        </is>
      </c>
    </row>
    <row r="234" ht="15.75" customHeight="1" s="19">
      <c r="A234" s="3" t="n">
        <v>108</v>
      </c>
      <c r="B234" s="3" t="inlineStr">
        <is>
          <t>Phenylethyl Magnesium Chloride Series</t>
        </is>
      </c>
      <c r="C234" s="3" t="inlineStr">
        <is>
          <t>90878-19-6</t>
        </is>
      </c>
      <c r="D234" s="8" t="inlineStr">
        <is>
          <t>293190</t>
        </is>
      </c>
      <c r="E234" s="3" t="inlineStr">
        <is>
          <t>Grignard Reagent</t>
        </is>
      </c>
      <c r="F234" s="3" t="inlineStr">
        <is>
          <t>High</t>
        </is>
      </c>
      <c r="G234" s="3" t="inlineStr">
        <is>
          <t>Pharmaceutical synthesis</t>
        </is>
      </c>
      <c r="H234" s="3" t="inlineStr">
        <is>
          <t>Fine chemical manufacturing</t>
        </is>
      </c>
      <c r="I234" s="3" t="inlineStr">
        <is>
          <t>Active</t>
        </is>
      </c>
      <c r="J234" s="3" t="inlineStr">
        <is>
          <t>Organometallic Reagent</t>
        </is>
      </c>
    </row>
    <row r="235" ht="15.75" customHeight="1" s="19">
      <c r="A235" s="3" t="n">
        <v>109</v>
      </c>
      <c r="B235" s="3" t="inlineStr">
        <is>
          <t>Antimony(IV) Sulfide</t>
        </is>
      </c>
      <c r="C235" s="3" t="inlineStr">
        <is>
          <t>1315-04-4</t>
        </is>
      </c>
      <c r="D235" s="8" t="inlineStr">
        <is>
          <t>283010</t>
        </is>
      </c>
      <c r="E235" s="3" t="inlineStr">
        <is>
          <t>Antimony Compound</t>
        </is>
      </c>
      <c r="F235" s="3" t="inlineStr">
        <is>
          <t>High</t>
        </is>
      </c>
      <c r="G235" s="3" t="inlineStr">
        <is>
          <t>Flame retardants, alloys</t>
        </is>
      </c>
      <c r="H235" s="3" t="inlineStr">
        <is>
          <t>Lead-acid batteries</t>
        </is>
      </c>
      <c r="I235" s="3" t="inlineStr">
        <is>
          <t>Bulk</t>
        </is>
      </c>
      <c r="J235" s="3" t="inlineStr">
        <is>
          <t>Metalloid Compound</t>
        </is>
      </c>
    </row>
    <row r="236" ht="15.75" customHeight="1" s="19">
      <c r="A236" s="3" t="n">
        <v>110</v>
      </c>
      <c r="B236" s="3" t="inlineStr">
        <is>
          <t>Neodymium Chloride</t>
        </is>
      </c>
      <c r="C236" s="3" t="inlineStr">
        <is>
          <t>10024-93-8</t>
        </is>
      </c>
      <c r="D236" s="8" t="inlineStr">
        <is>
          <t>284610</t>
        </is>
      </c>
      <c r="E236" s="3" t="inlineStr">
        <is>
          <t>Rare Earth Compound</t>
        </is>
      </c>
      <c r="F236" s="3" t="inlineStr">
        <is>
          <t>High</t>
        </is>
      </c>
      <c r="G236" s="3" t="inlineStr">
        <is>
          <t>Electronics, catalysts, glass polishing</t>
        </is>
      </c>
      <c r="H236" s="3" t="inlineStr">
        <is>
          <t>Ceramics, phosphors</t>
        </is>
      </c>
      <c r="I236" s="3" t="inlineStr">
        <is>
          <t>Active</t>
        </is>
      </c>
      <c r="J236" s="3" t="inlineStr">
        <is>
          <t>Rare Earth Salt / Oxide</t>
        </is>
      </c>
    </row>
    <row r="237" ht="15.75" customHeight="1" s="19">
      <c r="A237" s="3" t="n">
        <v>111</v>
      </c>
      <c r="B237" s="3" t="inlineStr">
        <is>
          <t>Bismuth (III) Oxy Fluoride</t>
        </is>
      </c>
      <c r="C237" s="3" t="inlineStr">
        <is>
          <t>13520-72-4</t>
        </is>
      </c>
      <c r="D237" s="8" t="inlineStr">
        <is>
          <t>282749</t>
        </is>
      </c>
      <c r="E237" s="3" t="inlineStr">
        <is>
          <t>Bismuth Compound</t>
        </is>
      </c>
      <c r="F237" s="3" t="inlineStr">
        <is>
          <t>High</t>
        </is>
      </c>
      <c r="G237" s="3" t="inlineStr">
        <is>
          <t>Pharmaceuticals, cosmetics (pearlescent)</t>
        </is>
      </c>
      <c r="H237" s="3" t="inlineStr">
        <is>
          <t>Lead-free solder, alloys</t>
        </is>
      </c>
      <c r="I237" s="3" t="inlineStr">
        <is>
          <t>Active</t>
        </is>
      </c>
      <c r="J237" s="3" t="inlineStr">
        <is>
          <t>Post-transition Metal Salt</t>
        </is>
      </c>
    </row>
    <row r="238" ht="15.75" customHeight="1" s="19">
      <c r="A238" s="3" t="n">
        <v>112</v>
      </c>
      <c r="B238" s="3" t="inlineStr">
        <is>
          <t>Bismuth Sub Nitrate Monohydrate</t>
        </is>
      </c>
      <c r="C238" s="3" t="inlineStr">
        <is>
          <t>13595-83-0</t>
        </is>
      </c>
      <c r="D238" s="8" t="inlineStr">
        <is>
          <t>283429</t>
        </is>
      </c>
      <c r="E238" s="3" t="inlineStr">
        <is>
          <t>Bismuth Compound</t>
        </is>
      </c>
      <c r="F238" s="3" t="inlineStr">
        <is>
          <t>High</t>
        </is>
      </c>
      <c r="G238" s="3" t="inlineStr">
        <is>
          <t>Pharmaceuticals, cosmetics (pearlescent)</t>
        </is>
      </c>
      <c r="H238" s="3" t="inlineStr">
        <is>
          <t>Lead-free solder, alloys</t>
        </is>
      </c>
      <c r="I238" s="3" t="inlineStr">
        <is>
          <t>Active</t>
        </is>
      </c>
      <c r="J238" s="3" t="inlineStr">
        <is>
          <t>Post-transition Metal Salt</t>
        </is>
      </c>
    </row>
    <row r="239" ht="15.75" customHeight="1" s="19">
      <c r="A239" s="3" t="n">
        <v>113</v>
      </c>
      <c r="B239" s="3" t="inlineStr">
        <is>
          <t>Cobalt (II) Citrate dihydrate</t>
        </is>
      </c>
      <c r="C239" s="3" t="inlineStr">
        <is>
          <t>866-81-9</t>
        </is>
      </c>
      <c r="D239" s="8" t="inlineStr">
        <is>
          <t>291815</t>
        </is>
      </c>
      <c r="E239" s="3" t="inlineStr">
        <is>
          <t>Cobalt Compound</t>
        </is>
      </c>
      <c r="F239" s="3" t="inlineStr">
        <is>
          <t>High</t>
        </is>
      </c>
      <c r="G239" s="3" t="inlineStr">
        <is>
          <t>Battery cathodes, catalysts</t>
        </is>
      </c>
      <c r="H239" s="3" t="inlineStr">
        <is>
          <t>Pigments, driers</t>
        </is>
      </c>
      <c r="I239" s="3" t="inlineStr">
        <is>
          <t>Active</t>
        </is>
      </c>
      <c r="J239" s="3" t="inlineStr">
        <is>
          <t>Transition Metal Salt</t>
        </is>
      </c>
    </row>
    <row r="240" ht="15.75" customHeight="1" s="19">
      <c r="A240" s="3" t="n">
        <v>114</v>
      </c>
      <c r="B240" s="3" t="inlineStr">
        <is>
          <t>Strontium Oxalate</t>
        </is>
      </c>
      <c r="C240" s="3" t="inlineStr">
        <is>
          <t>814-95-9</t>
        </is>
      </c>
      <c r="D240" s="8" t="inlineStr">
        <is>
          <t>291711</t>
        </is>
      </c>
      <c r="E240" s="3" t="inlineStr">
        <is>
          <t>Strontium Compound</t>
        </is>
      </c>
      <c r="F240" s="3" t="inlineStr">
        <is>
          <t>High</t>
        </is>
      </c>
      <c r="G240" s="3" t="inlineStr">
        <is>
          <t>Fireworks, ceramics</t>
        </is>
      </c>
      <c r="H240" s="3" t="inlineStr">
        <is>
          <t>Ferrite magnets, glass</t>
        </is>
      </c>
      <c r="I240" s="3" t="inlineStr">
        <is>
          <t>Active</t>
        </is>
      </c>
      <c r="J240" s="3" t="inlineStr">
        <is>
          <t>Alkaline Earth Metal Salt</t>
        </is>
      </c>
    </row>
    <row r="241" ht="15.75" customHeight="1" s="19">
      <c r="A241" s="3" t="n">
        <v>115</v>
      </c>
      <c r="B241" s="3" t="inlineStr">
        <is>
          <t>Copper (II) Sulfide</t>
        </is>
      </c>
      <c r="C241" s="3" t="inlineStr">
        <is>
          <t>1317-40-4</t>
        </is>
      </c>
      <c r="D241" s="8" t="inlineStr">
        <is>
          <t>283010</t>
        </is>
      </c>
      <c r="E241" s="3" t="inlineStr">
        <is>
          <t>Copper Compound</t>
        </is>
      </c>
      <c r="F241" s="3" t="inlineStr">
        <is>
          <t>High</t>
        </is>
      </c>
      <c r="G241" s="3" t="inlineStr">
        <is>
          <t>Electroplating, agrochemicals</t>
        </is>
      </c>
      <c r="H241" s="3" t="inlineStr">
        <is>
          <t>Catalysis, wood preservation</t>
        </is>
      </c>
      <c r="I241" s="3" t="inlineStr">
        <is>
          <t>Bulk</t>
        </is>
      </c>
      <c r="J241" s="3" t="inlineStr">
        <is>
          <t>Transition Metal Salt</t>
        </is>
      </c>
    </row>
    <row r="242" ht="15.75" customHeight="1" s="19">
      <c r="A242" s="3" t="n">
        <v>116</v>
      </c>
      <c r="B242" s="3" t="inlineStr">
        <is>
          <t>Indium(III) Perchlorate Octahydrate</t>
        </is>
      </c>
      <c r="C242" s="3" t="inlineStr">
        <is>
          <t>13465-15-1</t>
        </is>
      </c>
      <c r="D242" s="8" t="inlineStr">
        <is>
          <t>282990</t>
        </is>
      </c>
      <c r="E242" s="3" t="inlineStr">
        <is>
          <t>Indium Compound</t>
        </is>
      </c>
      <c r="F242" s="3" t="inlineStr">
        <is>
          <t>High</t>
        </is>
      </c>
      <c r="G242" s="3" t="inlineStr">
        <is>
          <t>ITO for displays, semiconductors</t>
        </is>
      </c>
      <c r="H242" s="3" t="inlineStr">
        <is>
          <t>Low-melting alloys</t>
        </is>
      </c>
      <c r="I242" s="3" t="inlineStr">
        <is>
          <t>Active</t>
        </is>
      </c>
      <c r="J242" s="3" t="inlineStr">
        <is>
          <t>Post-transition Metal Salt</t>
        </is>
      </c>
    </row>
    <row r="243" ht="15.75" customHeight="1" s="19">
      <c r="A243" s="3" t="n">
        <v>117</v>
      </c>
      <c r="B243" s="3" t="inlineStr">
        <is>
          <t>Copper Bromide</t>
        </is>
      </c>
      <c r="C243" s="3" t="inlineStr">
        <is>
          <t>7787-70-4</t>
        </is>
      </c>
      <c r="D243" s="8" t="inlineStr">
        <is>
          <t>282759</t>
        </is>
      </c>
      <c r="E243" s="3" t="inlineStr">
        <is>
          <t>Copper Compound</t>
        </is>
      </c>
      <c r="F243" s="3" t="inlineStr">
        <is>
          <t>High</t>
        </is>
      </c>
      <c r="G243" s="3" t="inlineStr">
        <is>
          <t>Electroplating, agrochemicals</t>
        </is>
      </c>
      <c r="H243" s="3" t="inlineStr">
        <is>
          <t>Catalysis, wood preservation</t>
        </is>
      </c>
      <c r="I243" s="3" t="inlineStr">
        <is>
          <t>Bulk</t>
        </is>
      </c>
      <c r="J243" s="3" t="inlineStr">
        <is>
          <t>Transition Metal Salt</t>
        </is>
      </c>
    </row>
    <row r="244" ht="15.75" customHeight="1" s="19">
      <c r="A244" s="3" t="n">
        <v>118</v>
      </c>
      <c r="B244" s="3" t="inlineStr">
        <is>
          <t>Cadmium Sulphate</t>
        </is>
      </c>
      <c r="C244" s="3" t="inlineStr">
        <is>
          <t>10124-36-4</t>
        </is>
      </c>
      <c r="D244" s="8" t="inlineStr">
        <is>
          <t>283329</t>
        </is>
      </c>
      <c r="E244" s="3" t="inlineStr">
        <is>
          <t>Cadmium Compound</t>
        </is>
      </c>
      <c r="F244" s="3" t="inlineStr">
        <is>
          <t>High</t>
        </is>
      </c>
      <c r="G244" s="3" t="inlineStr">
        <is>
          <t>Batteries (NiCd), pigments</t>
        </is>
      </c>
      <c r="H244" s="3" t="inlineStr">
        <is>
          <t>Electroplating, alloys</t>
        </is>
      </c>
      <c r="I244" s="3" t="inlineStr">
        <is>
          <t>Active</t>
        </is>
      </c>
      <c r="J244" s="3" t="inlineStr">
        <is>
          <t>Heavy Metal Salt</t>
        </is>
      </c>
    </row>
    <row r="245" ht="15.75" customHeight="1" s="19">
      <c r="A245" s="3" t="n">
        <v>119</v>
      </c>
      <c r="B245" s="3" t="inlineStr">
        <is>
          <t>Cobalt Nitrate</t>
        </is>
      </c>
      <c r="C245" s="3" t="inlineStr">
        <is>
          <t>10141-05-0</t>
        </is>
      </c>
      <c r="D245" s="8" t="inlineStr">
        <is>
          <t>283429</t>
        </is>
      </c>
      <c r="E245" s="3" t="inlineStr">
        <is>
          <t>Cobalt Compound</t>
        </is>
      </c>
      <c r="F245" s="3" t="inlineStr">
        <is>
          <t>High</t>
        </is>
      </c>
      <c r="G245" s="3" t="inlineStr">
        <is>
          <t>Battery cathodes, catalysts</t>
        </is>
      </c>
      <c r="H245" s="3" t="inlineStr">
        <is>
          <t>Pigments, driers</t>
        </is>
      </c>
      <c r="I245" s="3" t="inlineStr">
        <is>
          <t>Active</t>
        </is>
      </c>
      <c r="J245" s="3" t="inlineStr">
        <is>
          <t>Transition Metal Salt</t>
        </is>
      </c>
    </row>
    <row r="246" ht="15.75" customHeight="1" s="19">
      <c r="A246" s="3" t="n">
        <v>120</v>
      </c>
      <c r="B246" s="3" t="inlineStr">
        <is>
          <t>Cadmium Acetate</t>
        </is>
      </c>
      <c r="C246" s="3" t="inlineStr">
        <is>
          <t>5743-04-0</t>
        </is>
      </c>
      <c r="D246" s="8" t="inlineStr">
        <is>
          <t>291529</t>
        </is>
      </c>
      <c r="E246" s="3" t="inlineStr">
        <is>
          <t>Cadmium Compound</t>
        </is>
      </c>
      <c r="F246" s="3" t="inlineStr">
        <is>
          <t>High</t>
        </is>
      </c>
      <c r="G246" s="3" t="inlineStr">
        <is>
          <t>Batteries (NiCd), pigments</t>
        </is>
      </c>
      <c r="H246" s="3" t="inlineStr">
        <is>
          <t>Electroplating, alloys</t>
        </is>
      </c>
      <c r="I246" s="3" t="inlineStr">
        <is>
          <t>Active</t>
        </is>
      </c>
      <c r="J246" s="3" t="inlineStr">
        <is>
          <t>Heavy Metal Salt</t>
        </is>
      </c>
    </row>
    <row r="247" ht="15.75" customHeight="1" s="19">
      <c r="A247" s="3" t="n">
        <v>121</v>
      </c>
      <c r="B247" s="3" t="inlineStr">
        <is>
          <t>Iridium(III) acetylacetonate</t>
        </is>
      </c>
      <c r="C247" s="3" t="inlineStr">
        <is>
          <t>15635-87-7</t>
        </is>
      </c>
      <c r="D247" s="8" t="inlineStr">
        <is>
          <t>284390</t>
        </is>
      </c>
      <c r="E247" s="3" t="inlineStr">
        <is>
          <t>Organometallic Catalyst</t>
        </is>
      </c>
      <c r="F247" s="3" t="inlineStr">
        <is>
          <t>High</t>
        </is>
      </c>
      <c r="G247" s="3" t="inlineStr">
        <is>
          <t>Cross-coupling reactions (pharma synthesis)</t>
        </is>
      </c>
      <c r="H247" s="3" t="inlineStr">
        <is>
          <t>Catalytic hydrogenation</t>
        </is>
      </c>
      <c r="I247" s="3" t="inlineStr">
        <is>
          <t>Active</t>
        </is>
      </c>
      <c r="J247" s="3" t="inlineStr">
        <is>
          <t>Homogeneous Catalyst</t>
        </is>
      </c>
    </row>
    <row r="248" ht="15.75" customHeight="1" s="19">
      <c r="A248" s="3" t="n">
        <v>122</v>
      </c>
      <c r="B248" s="3" t="inlineStr">
        <is>
          <t>Nickel Sulfide</t>
        </is>
      </c>
      <c r="C248" s="3" t="inlineStr">
        <is>
          <t>16812-54-7</t>
        </is>
      </c>
      <c r="D248" s="8" t="inlineStr">
        <is>
          <t>283010</t>
        </is>
      </c>
      <c r="E248" s="3" t="inlineStr">
        <is>
          <t>Nickel Compound</t>
        </is>
      </c>
      <c r="F248" s="3" t="inlineStr">
        <is>
          <t>High</t>
        </is>
      </c>
      <c r="G248" s="3" t="inlineStr">
        <is>
          <t>Electroplating, batteries</t>
        </is>
      </c>
      <c r="H248" s="3" t="inlineStr">
        <is>
          <t>Catalysis, ceramics</t>
        </is>
      </c>
      <c r="I248" s="3" t="inlineStr">
        <is>
          <t>Bulk</t>
        </is>
      </c>
      <c r="J248" s="3" t="inlineStr">
        <is>
          <t>Transition Metal Salt</t>
        </is>
      </c>
    </row>
    <row r="249" ht="15.75" customHeight="1" s="19">
      <c r="A249" s="3" t="n">
        <v>123</v>
      </c>
      <c r="B249" s="3" t="inlineStr">
        <is>
          <t>Lead (II) Sulfate</t>
        </is>
      </c>
      <c r="C249" s="3" t="inlineStr">
        <is>
          <t>7446-14-2</t>
        </is>
      </c>
      <c r="D249" s="8" t="inlineStr">
        <is>
          <t>283329</t>
        </is>
      </c>
      <c r="E249" s="3" t="inlineStr">
        <is>
          <t>Lead Compound</t>
        </is>
      </c>
      <c r="F249" s="3" t="inlineStr">
        <is>
          <t>High</t>
        </is>
      </c>
      <c r="G249" s="3" t="inlineStr">
        <is>
          <t>Batteries (lead-acid)</t>
        </is>
      </c>
      <c r="H249" s="3" t="inlineStr">
        <is>
          <t>Radiation shielding, glass</t>
        </is>
      </c>
      <c r="I249" s="3" t="inlineStr">
        <is>
          <t>Bulk</t>
        </is>
      </c>
      <c r="J249" s="3" t="inlineStr">
        <is>
          <t>Heavy Metal Salt</t>
        </is>
      </c>
      <c r="Q249" s="5">
        <f t="array" ref="Q249">UNIQUE(COUNTA(O251:O309))</f>
        <v/>
      </c>
    </row>
    <row r="250" ht="15.75" customHeight="1" s="19">
      <c r="A250" s="3" t="n">
        <v>124</v>
      </c>
      <c r="B250" s="3" t="inlineStr">
        <is>
          <t>Tetrakis(ethylmethylamino)hafnium(IV)</t>
        </is>
      </c>
      <c r="C250" s="3" t="inlineStr">
        <is>
          <t>352535-01-4</t>
        </is>
      </c>
      <c r="D250" s="8" t="inlineStr">
        <is>
          <t>281290</t>
        </is>
      </c>
      <c r="E250" s="3" t="inlineStr">
        <is>
          <t>Hafnium Compound</t>
        </is>
      </c>
      <c r="F250" s="3" t="inlineStr">
        <is>
          <t>High</t>
        </is>
      </c>
      <c r="G250" s="3" t="inlineStr">
        <is>
          <t>Semiconductor fabrication (ALD)</t>
        </is>
      </c>
      <c r="H250" s="3" t="inlineStr">
        <is>
          <t>Nuclear control rods</t>
        </is>
      </c>
      <c r="I250" s="3" t="inlineStr">
        <is>
          <t>Active</t>
        </is>
      </c>
      <c r="J250" s="3" t="inlineStr">
        <is>
          <t>Refractory Metal Compound</t>
        </is>
      </c>
      <c r="O250" s="5" t="inlineStr">
        <is>
          <t>Metallurgical Chemicals</t>
        </is>
      </c>
      <c r="P250" s="5" t="inlineStr">
        <is>
          <t>BPC</t>
        </is>
      </c>
    </row>
    <row r="251" ht="15.75" customHeight="1" s="19">
      <c r="A251" s="3" t="n">
        <v>125</v>
      </c>
      <c r="B251" s="3" t="inlineStr">
        <is>
          <t>Bis(triphenyl phosphine) palladium(II) dichloride</t>
        </is>
      </c>
      <c r="C251" s="3" t="inlineStr">
        <is>
          <t>13965-03-2</t>
        </is>
      </c>
      <c r="D251" s="8" t="inlineStr">
        <is>
          <t>284390</t>
        </is>
      </c>
      <c r="E251" s="3" t="inlineStr">
        <is>
          <t>Organometallic Catalyst</t>
        </is>
      </c>
      <c r="F251" s="3" t="inlineStr">
        <is>
          <t>High</t>
        </is>
      </c>
      <c r="G251" s="3" t="inlineStr">
        <is>
          <t>Cross-coupling reactions (pharma synthesis)</t>
        </is>
      </c>
      <c r="H251" s="3" t="inlineStr">
        <is>
          <t>Catalytic hydrogenation</t>
        </is>
      </c>
      <c r="I251" s="3" t="inlineStr">
        <is>
          <t>Active</t>
        </is>
      </c>
      <c r="J251" s="3" t="inlineStr">
        <is>
          <t>Homogeneous Catalyst</t>
        </is>
      </c>
      <c r="O251" s="5">
        <f t="array" ref="O251:O309">UNIQUE(D127:D386)</f>
        <v/>
      </c>
      <c r="P251" s="5">
        <f t="array" ref="P251:P255">UNIQUE(D3:D122)</f>
        <v/>
      </c>
    </row>
    <row r="252" ht="15.75" customHeight="1" s="19">
      <c r="A252" s="3" t="n">
        <v>126</v>
      </c>
      <c r="B252" s="3" t="inlineStr">
        <is>
          <t>Cobalt(II) trifluoromethanesulfonate</t>
        </is>
      </c>
      <c r="C252" s="3" t="inlineStr">
        <is>
          <t>58164-61-7</t>
        </is>
      </c>
      <c r="D252" s="8" t="inlineStr">
        <is>
          <t>284290</t>
        </is>
      </c>
      <c r="E252" s="3" t="inlineStr">
        <is>
          <t>Cobalt Compound</t>
        </is>
      </c>
      <c r="F252" s="3" t="inlineStr">
        <is>
          <t>High</t>
        </is>
      </c>
      <c r="G252" s="3" t="inlineStr">
        <is>
          <t>Battery cathodes, catalysts</t>
        </is>
      </c>
      <c r="H252" s="3" t="inlineStr">
        <is>
          <t>Pigments, driers</t>
        </is>
      </c>
      <c r="I252" s="3" t="inlineStr">
        <is>
          <t>Active</t>
        </is>
      </c>
      <c r="J252" s="3" t="inlineStr">
        <is>
          <t>Transition Metal Salt</t>
        </is>
      </c>
      <c r="O252" s="5" t="inlineStr">
        <is>
          <t>282540</t>
        </is>
      </c>
      <c r="P252" s="5" t="inlineStr">
        <is>
          <t>330499</t>
        </is>
      </c>
    </row>
    <row r="253" ht="15.75" customHeight="1" s="19">
      <c r="A253" s="3" t="n">
        <v>127</v>
      </c>
      <c r="B253" s="3" t="inlineStr">
        <is>
          <t>Cobalt(III) nitrate</t>
        </is>
      </c>
      <c r="C253" s="3" t="inlineStr">
        <is>
          <t>15520-84-0</t>
        </is>
      </c>
      <c r="D253" s="8" t="inlineStr">
        <is>
          <t>283429</t>
        </is>
      </c>
      <c r="E253" s="3" t="inlineStr">
        <is>
          <t>Cobalt Compound</t>
        </is>
      </c>
      <c r="F253" s="3" t="inlineStr">
        <is>
          <t>High</t>
        </is>
      </c>
      <c r="G253" s="3" t="inlineStr">
        <is>
          <t>Battery cathodes, catalysts</t>
        </is>
      </c>
      <c r="H253" s="3" t="inlineStr">
        <is>
          <t>Pigments, driers</t>
        </is>
      </c>
      <c r="I253" s="3" t="inlineStr">
        <is>
          <t>Active</t>
        </is>
      </c>
      <c r="J253" s="3" t="inlineStr">
        <is>
          <t>Transition Metal Salt</t>
        </is>
      </c>
      <c r="O253" s="5" t="inlineStr">
        <is>
          <t>283699</t>
        </is>
      </c>
      <c r="P253" s="5" t="n"/>
    </row>
    <row r="254" ht="15.75" customHeight="1" s="19">
      <c r="A254" s="3" t="n">
        <v>128</v>
      </c>
      <c r="B254" s="3" t="inlineStr">
        <is>
          <t>Chromium Hexacarbonyl</t>
        </is>
      </c>
      <c r="C254" s="3" t="inlineStr">
        <is>
          <t>13007-92-6</t>
        </is>
      </c>
      <c r="D254" s="8" t="inlineStr">
        <is>
          <t>293190</t>
        </is>
      </c>
      <c r="E254" s="3" t="inlineStr">
        <is>
          <t>Chromium Compound</t>
        </is>
      </c>
      <c r="F254" s="3" t="inlineStr">
        <is>
          <t>High</t>
        </is>
      </c>
      <c r="G254" s="3" t="inlineStr">
        <is>
          <t>Electroplating, leather tanning</t>
        </is>
      </c>
      <c r="H254" s="3" t="inlineStr">
        <is>
          <t>Pigments, catalysis</t>
        </is>
      </c>
      <c r="I254" s="3" t="inlineStr">
        <is>
          <t>Bulk</t>
        </is>
      </c>
      <c r="J254" s="3" t="inlineStr">
        <is>
          <t>Transition Metal Salt</t>
        </is>
      </c>
      <c r="O254" s="5" t="inlineStr">
        <is>
          <t>284610</t>
        </is>
      </c>
      <c r="P254" s="5" t="inlineStr">
        <is>
          <t>330129</t>
        </is>
      </c>
    </row>
    <row r="255" ht="15.75" customHeight="1" s="19">
      <c r="A255" s="3" t="n">
        <v>129</v>
      </c>
      <c r="B255" s="3" t="inlineStr">
        <is>
          <t>Tris(acetomitrile) tricarbonyl chromium(0)</t>
        </is>
      </c>
      <c r="C255" s="3" t="inlineStr">
        <is>
          <t>16800-46-7</t>
        </is>
      </c>
      <c r="D255" s="8" t="inlineStr">
        <is>
          <t>293190</t>
        </is>
      </c>
      <c r="E255" s="3" t="inlineStr">
        <is>
          <t>Chromium Compound</t>
        </is>
      </c>
      <c r="F255" s="3" t="inlineStr">
        <is>
          <t>High</t>
        </is>
      </c>
      <c r="G255" s="3" t="inlineStr">
        <is>
          <t>Electroplating, leather tanning</t>
        </is>
      </c>
      <c r="H255" s="3" t="inlineStr">
        <is>
          <t>Pigments, catalysis</t>
        </is>
      </c>
      <c r="I255" s="3" t="inlineStr">
        <is>
          <t>Bulk</t>
        </is>
      </c>
      <c r="J255" s="3" t="inlineStr">
        <is>
          <t>Transition Metal Salt</t>
        </is>
      </c>
      <c r="O255" s="5" t="inlineStr">
        <is>
          <t>282760</t>
        </is>
      </c>
      <c r="P255" s="5" t="inlineStr">
        <is>
          <t>330290</t>
        </is>
      </c>
    </row>
    <row r="256" ht="15.75" customHeight="1" s="19">
      <c r="A256" s="3" t="n">
        <v>130</v>
      </c>
      <c r="B256" s="3" t="inlineStr">
        <is>
          <t>Tricarbonyl(cycloheptatriene) chromium</t>
        </is>
      </c>
      <c r="C256" s="3" t="inlineStr">
        <is>
          <t>12125-72-3</t>
        </is>
      </c>
      <c r="D256" s="8" t="inlineStr">
        <is>
          <t>293190</t>
        </is>
      </c>
      <c r="E256" s="3" t="inlineStr">
        <is>
          <t>Chromium Compound</t>
        </is>
      </c>
      <c r="F256" s="3" t="inlineStr">
        <is>
          <t>High</t>
        </is>
      </c>
      <c r="G256" s="3" t="inlineStr">
        <is>
          <t>Electroplating, leather tanning</t>
        </is>
      </c>
      <c r="H256" s="3" t="inlineStr">
        <is>
          <t>Pigments, catalysis</t>
        </is>
      </c>
      <c r="I256" s="3" t="inlineStr">
        <is>
          <t>Bulk</t>
        </is>
      </c>
      <c r="J256" s="3" t="inlineStr">
        <is>
          <t>Transition Metal Salt</t>
        </is>
      </c>
      <c r="O256" s="5" t="inlineStr">
        <is>
          <t>811010</t>
        </is>
      </c>
    </row>
    <row r="257" ht="15.75" customHeight="1" s="19">
      <c r="A257" s="3" t="n">
        <v>131</v>
      </c>
      <c r="B257" s="3" t="inlineStr">
        <is>
          <t>Bis(dibenzylideneacetone)palladium(0)</t>
        </is>
      </c>
      <c r="C257" s="3" t="inlineStr">
        <is>
          <t>32005-36-0</t>
        </is>
      </c>
      <c r="D257" s="8" t="inlineStr">
        <is>
          <t>284390</t>
        </is>
      </c>
      <c r="E257" s="3" t="inlineStr">
        <is>
          <t>Organometallic Catalyst</t>
        </is>
      </c>
      <c r="F257" s="3" t="inlineStr">
        <is>
          <t>High</t>
        </is>
      </c>
      <c r="G257" s="3" t="inlineStr">
        <is>
          <t>Cross-coupling reactions (pharma synthesis)</t>
        </is>
      </c>
      <c r="H257" s="3" t="inlineStr">
        <is>
          <t>Catalytic hydrogenation</t>
        </is>
      </c>
      <c r="I257" s="3" t="inlineStr">
        <is>
          <t>Active</t>
        </is>
      </c>
      <c r="J257" s="3" t="inlineStr">
        <is>
          <t>Homogeneous Catalyst</t>
        </is>
      </c>
      <c r="O257" s="5" t="inlineStr">
        <is>
          <t>284329</t>
        </is>
      </c>
    </row>
    <row r="258" ht="15.75" customHeight="1" s="19">
      <c r="A258" s="3" t="n">
        <v>132</v>
      </c>
      <c r="B258" s="3" t="inlineStr">
        <is>
          <t>Ruthenium(III) acetylacetonate</t>
        </is>
      </c>
      <c r="C258" s="3" t="inlineStr">
        <is>
          <t>14284-93-6</t>
        </is>
      </c>
      <c r="D258" s="8" t="inlineStr">
        <is>
          <t>284390</t>
        </is>
      </c>
      <c r="E258" s="3" t="inlineStr">
        <is>
          <t>Organometallic Catalyst</t>
        </is>
      </c>
      <c r="F258" s="3" t="inlineStr">
        <is>
          <t>High</t>
        </is>
      </c>
      <c r="G258" s="3" t="inlineStr">
        <is>
          <t>Cross-coupling reactions (pharma synthesis)</t>
        </is>
      </c>
      <c r="H258" s="3" t="inlineStr">
        <is>
          <t>Catalytic hydrogenation</t>
        </is>
      </c>
      <c r="I258" s="3" t="inlineStr">
        <is>
          <t>Active</t>
        </is>
      </c>
      <c r="J258" s="3" t="inlineStr">
        <is>
          <t>Homogeneous Catalyst</t>
        </is>
      </c>
      <c r="O258" s="5" t="inlineStr">
        <is>
          <t>282560</t>
        </is>
      </c>
    </row>
    <row r="259" ht="15.75" customHeight="1" s="19">
      <c r="A259" s="3" t="n">
        <v>133</v>
      </c>
      <c r="B259" s="3" t="inlineStr">
        <is>
          <t>Molybdenum Hexacarbonyl</t>
        </is>
      </c>
      <c r="C259" s="3" t="inlineStr">
        <is>
          <t>13939-06-5</t>
        </is>
      </c>
      <c r="D259" s="8" t="inlineStr">
        <is>
          <t>293190</t>
        </is>
      </c>
      <c r="E259" s="3" t="inlineStr">
        <is>
          <t>Molybdenum Compound</t>
        </is>
      </c>
      <c r="F259" s="3" t="inlineStr">
        <is>
          <t>High</t>
        </is>
      </c>
      <c r="G259" s="3" t="inlineStr">
        <is>
          <t>Steel alloying, catalysis</t>
        </is>
      </c>
      <c r="H259" s="3" t="inlineStr">
        <is>
          <t>Lubricant additives</t>
        </is>
      </c>
      <c r="I259" s="3" t="inlineStr">
        <is>
          <t>Active</t>
        </is>
      </c>
      <c r="J259" s="3" t="inlineStr">
        <is>
          <t>Refractory Metal Compound</t>
        </is>
      </c>
      <c r="O259" s="5" t="inlineStr">
        <is>
          <t>283329</t>
        </is>
      </c>
    </row>
    <row r="260" ht="15.75" customHeight="1" s="19">
      <c r="A260" s="3" t="n">
        <v>134</v>
      </c>
      <c r="B260" s="3" t="inlineStr">
        <is>
          <t>(3,3-Dimethyl-1-Butyne)Dicobalt Hexacarbonyl</t>
        </is>
      </c>
      <c r="C260" s="3" t="inlineStr">
        <is>
          <t>56792-69-9</t>
        </is>
      </c>
      <c r="D260" s="8" t="inlineStr">
        <is>
          <t>293190</t>
        </is>
      </c>
      <c r="E260" s="3" t="inlineStr">
        <is>
          <t>Cobalt Compound</t>
        </is>
      </c>
      <c r="F260" s="3" t="inlineStr">
        <is>
          <t>High</t>
        </is>
      </c>
      <c r="G260" s="3" t="inlineStr">
        <is>
          <t>Battery cathodes, catalysts</t>
        </is>
      </c>
      <c r="H260" s="3" t="inlineStr">
        <is>
          <t>Pigments, driers</t>
        </is>
      </c>
      <c r="I260" s="3" t="inlineStr">
        <is>
          <t>Active</t>
        </is>
      </c>
      <c r="J260" s="3" t="inlineStr">
        <is>
          <t>Transition Metal Salt</t>
        </is>
      </c>
      <c r="O260" s="5" t="inlineStr">
        <is>
          <t>291711</t>
        </is>
      </c>
    </row>
    <row r="261" ht="15.75" customHeight="1" s="19">
      <c r="A261" s="3" t="n">
        <v>135</v>
      </c>
      <c r="B261" s="3" t="inlineStr">
        <is>
          <t>Tetrachlorobis(pyridine) ruthenium(IV)</t>
        </is>
      </c>
      <c r="C261" s="3" t="inlineStr">
        <is>
          <t>67047-72-7</t>
        </is>
      </c>
      <c r="D261" s="8" t="inlineStr">
        <is>
          <t>284390</t>
        </is>
      </c>
      <c r="E261" s="3" t="inlineStr">
        <is>
          <t>Organometallic Catalyst</t>
        </is>
      </c>
      <c r="F261" s="3" t="inlineStr">
        <is>
          <t>High</t>
        </is>
      </c>
      <c r="G261" s="3" t="inlineStr">
        <is>
          <t>Cross-coupling reactions (pharma synthesis)</t>
        </is>
      </c>
      <c r="H261" s="3" t="inlineStr">
        <is>
          <t>Catalytic hydrogenation</t>
        </is>
      </c>
      <c r="I261" s="3" t="inlineStr">
        <is>
          <t>Active</t>
        </is>
      </c>
      <c r="J261" s="3" t="inlineStr">
        <is>
          <t>Homogeneous Catalyst</t>
        </is>
      </c>
      <c r="O261" s="5" t="inlineStr">
        <is>
          <t>290549</t>
        </is>
      </c>
    </row>
    <row r="262" ht="15.75" customHeight="1" s="19">
      <c r="A262" s="3" t="n">
        <v>136</v>
      </c>
      <c r="B262" s="3" t="inlineStr">
        <is>
          <t>Barium Iodide Anhydrous</t>
        </is>
      </c>
      <c r="C262" s="3" t="inlineStr">
        <is>
          <t>13718-50-8</t>
        </is>
      </c>
      <c r="D262" s="8" t="inlineStr">
        <is>
          <t>282760</t>
        </is>
      </c>
      <c r="E262" s="3" t="inlineStr">
        <is>
          <t>Barium Compound</t>
        </is>
      </c>
      <c r="F262" s="3" t="inlineStr">
        <is>
          <t>High</t>
        </is>
      </c>
      <c r="G262" s="3" t="inlineStr">
        <is>
          <t>Oil drilling fluids, ceramics</t>
        </is>
      </c>
      <c r="H262" s="3" t="inlineStr">
        <is>
          <t>Fireworks, pigments</t>
        </is>
      </c>
      <c r="I262" s="3" t="inlineStr">
        <is>
          <t>Bulk</t>
        </is>
      </c>
      <c r="J262" s="3" t="inlineStr">
        <is>
          <t>Alkaline Earth Metal Salt</t>
        </is>
      </c>
      <c r="O262" s="5" t="inlineStr">
        <is>
          <t>291815</t>
        </is>
      </c>
    </row>
    <row r="263" ht="15.75" customHeight="1" s="19">
      <c r="A263" s="3" t="n">
        <v>137</v>
      </c>
      <c r="B263" s="3" t="inlineStr">
        <is>
          <t>Ammonium Carbonate</t>
        </is>
      </c>
      <c r="C263" s="3" t="inlineStr">
        <is>
          <t>506-87-6</t>
        </is>
      </c>
      <c r="D263" s="8" t="inlineStr">
        <is>
          <t>283699</t>
        </is>
      </c>
      <c r="E263" s="3" t="inlineStr">
        <is>
          <t>Ammonium Salt</t>
        </is>
      </c>
      <c r="F263" s="3" t="inlineStr">
        <is>
          <t>High</t>
        </is>
      </c>
      <c r="G263" s="3" t="inlineStr">
        <is>
          <t>Analytical chemistry, etching</t>
        </is>
      </c>
      <c r="H263" s="3" t="inlineStr">
        <is>
          <t>Fertilizers, water treatment</t>
        </is>
      </c>
      <c r="I263" s="3" t="inlineStr">
        <is>
          <t>Bulk</t>
        </is>
      </c>
      <c r="J263" s="3" t="inlineStr">
        <is>
          <t>Inorganic Ammonium Salt</t>
        </is>
      </c>
      <c r="O263" s="5" t="inlineStr">
        <is>
          <t>282010</t>
        </is>
      </c>
    </row>
    <row r="264" ht="15.75" customHeight="1" s="19">
      <c r="A264" s="3" t="n">
        <v>138</v>
      </c>
      <c r="B264" s="3" t="inlineStr">
        <is>
          <t>Ammonium Cobalt Sulfate</t>
        </is>
      </c>
      <c r="C264" s="3" t="inlineStr">
        <is>
          <t>13586-38-4</t>
        </is>
      </c>
      <c r="D264" s="8" t="inlineStr">
        <is>
          <t>283329</t>
        </is>
      </c>
      <c r="E264" s="3" t="inlineStr">
        <is>
          <t>Cobalt Compound</t>
        </is>
      </c>
      <c r="F264" s="3" t="inlineStr">
        <is>
          <t>High</t>
        </is>
      </c>
      <c r="G264" s="3" t="inlineStr">
        <is>
          <t>Battery cathodes, catalysts</t>
        </is>
      </c>
      <c r="H264" s="3" t="inlineStr">
        <is>
          <t>Pigments, driers</t>
        </is>
      </c>
      <c r="I264" s="3" t="inlineStr">
        <is>
          <t>Active</t>
        </is>
      </c>
      <c r="J264" s="3" t="inlineStr">
        <is>
          <t>Transition Metal Salt</t>
        </is>
      </c>
      <c r="O264" s="5" t="inlineStr">
        <is>
          <t>292119</t>
        </is>
      </c>
    </row>
    <row r="265" ht="15.75" customHeight="1" s="19">
      <c r="A265" s="3" t="n">
        <v>139</v>
      </c>
      <c r="B265" s="3" t="inlineStr">
        <is>
          <t>Bismuth (III) Bromide</t>
        </is>
      </c>
      <c r="C265" s="3" t="inlineStr">
        <is>
          <t>7787-58-8</t>
        </is>
      </c>
      <c r="D265" s="8" t="inlineStr">
        <is>
          <t>282759</t>
        </is>
      </c>
      <c r="E265" s="3" t="inlineStr">
        <is>
          <t>Bismuth Compound</t>
        </is>
      </c>
      <c r="F265" s="3" t="inlineStr">
        <is>
          <t>High</t>
        </is>
      </c>
      <c r="G265" s="3" t="inlineStr">
        <is>
          <t>Pharmaceuticals, cosmetics (pearlescent)</t>
        </is>
      </c>
      <c r="H265" s="3" t="inlineStr">
        <is>
          <t>Lead-free solder, alloys</t>
        </is>
      </c>
      <c r="I265" s="3" t="inlineStr">
        <is>
          <t>Active</t>
        </is>
      </c>
      <c r="J265" s="3" t="inlineStr">
        <is>
          <t>Post-transition Metal Salt</t>
        </is>
      </c>
      <c r="O265" s="5" t="inlineStr">
        <is>
          <t>293090</t>
        </is>
      </c>
    </row>
    <row r="266" ht="15.75" customHeight="1" s="19">
      <c r="A266" s="3" t="n">
        <v>140</v>
      </c>
      <c r="B266" s="3" t="inlineStr">
        <is>
          <t>Bismuth (III) Nitrate Basic</t>
        </is>
      </c>
      <c r="C266" s="3" t="inlineStr">
        <is>
          <t>10361-46-3</t>
        </is>
      </c>
      <c r="D266" s="8" t="inlineStr">
        <is>
          <t>283429</t>
        </is>
      </c>
      <c r="E266" s="3" t="inlineStr">
        <is>
          <t>Bismuth Compound</t>
        </is>
      </c>
      <c r="F266" s="3" t="inlineStr">
        <is>
          <t>High</t>
        </is>
      </c>
      <c r="G266" s="3" t="inlineStr">
        <is>
          <t>Pharmaceuticals, cosmetics (pearlescent)</t>
        </is>
      </c>
      <c r="H266" s="3" t="inlineStr">
        <is>
          <t>Lead-free solder, alloys</t>
        </is>
      </c>
      <c r="I266" s="3" t="inlineStr">
        <is>
          <t>Active</t>
        </is>
      </c>
      <c r="J266" s="3" t="inlineStr">
        <is>
          <t>Post-transition Metal Salt</t>
        </is>
      </c>
      <c r="O266" s="5" t="inlineStr">
        <is>
          <t>293190</t>
        </is>
      </c>
    </row>
    <row r="267" ht="15.75" customHeight="1" s="19">
      <c r="A267" s="3" t="n">
        <v>141</v>
      </c>
      <c r="B267" s="3" t="inlineStr">
        <is>
          <t>Nickel (II) Phosphate</t>
        </is>
      </c>
      <c r="C267" s="3" t="inlineStr">
        <is>
          <t>10381-36-9</t>
        </is>
      </c>
      <c r="D267" s="8" t="inlineStr">
        <is>
          <t>283526</t>
        </is>
      </c>
      <c r="E267" s="3" t="inlineStr">
        <is>
          <t>Nickel Compound</t>
        </is>
      </c>
      <c r="F267" s="3" t="inlineStr">
        <is>
          <t>High</t>
        </is>
      </c>
      <c r="G267" s="3" t="inlineStr">
        <is>
          <t>Electroplating, batteries</t>
        </is>
      </c>
      <c r="H267" s="3" t="inlineStr">
        <is>
          <t>Catalysis, ceramics</t>
        </is>
      </c>
      <c r="I267" s="3" t="inlineStr">
        <is>
          <t>Bulk</t>
        </is>
      </c>
      <c r="J267" s="3" t="inlineStr">
        <is>
          <t>Transition Metal Salt</t>
        </is>
      </c>
      <c r="O267" s="5" t="inlineStr">
        <is>
          <t>284390</t>
        </is>
      </c>
    </row>
    <row r="268" ht="15.75" customHeight="1" s="19">
      <c r="A268" s="3" t="n">
        <v>142</v>
      </c>
      <c r="B268" s="3" t="inlineStr">
        <is>
          <t>Nickel (II) Acetate Tetrahydrate</t>
        </is>
      </c>
      <c r="C268" s="3" t="inlineStr">
        <is>
          <t>6018-89-9</t>
        </is>
      </c>
      <c r="D268" s="8" t="inlineStr">
        <is>
          <t>291529</t>
        </is>
      </c>
      <c r="E268" s="3" t="inlineStr">
        <is>
          <t>Nickel Compound</t>
        </is>
      </c>
      <c r="F268" s="3" t="inlineStr">
        <is>
          <t>High</t>
        </is>
      </c>
      <c r="G268" s="3" t="inlineStr">
        <is>
          <t>Electroplating, batteries</t>
        </is>
      </c>
      <c r="H268" s="3" t="inlineStr">
        <is>
          <t>Catalysis, ceramics</t>
        </is>
      </c>
      <c r="I268" s="3" t="inlineStr">
        <is>
          <t>Bulk</t>
        </is>
      </c>
      <c r="J268" s="3" t="inlineStr">
        <is>
          <t>Transition Metal Salt</t>
        </is>
      </c>
      <c r="O268" s="5" t="inlineStr">
        <is>
          <t>284019</t>
        </is>
      </c>
    </row>
    <row r="269" ht="15.75" customHeight="1" s="19">
      <c r="A269" s="3" t="n">
        <v>143</v>
      </c>
      <c r="B269" s="3" t="inlineStr">
        <is>
          <t>Praseodymium Nitrate</t>
        </is>
      </c>
      <c r="C269" s="3" t="inlineStr">
        <is>
          <t>15878-77-0</t>
        </is>
      </c>
      <c r="D269" s="8" t="inlineStr">
        <is>
          <t>284610</t>
        </is>
      </c>
      <c r="E269" s="3" t="inlineStr">
        <is>
          <t>Rare Earth Compound</t>
        </is>
      </c>
      <c r="F269" s="3" t="inlineStr">
        <is>
          <t>High</t>
        </is>
      </c>
      <c r="G269" s="3" t="inlineStr">
        <is>
          <t>Electronics, catalysts, glass polishing</t>
        </is>
      </c>
      <c r="H269" s="3" t="inlineStr">
        <is>
          <t>Ceramics, phosphors</t>
        </is>
      </c>
      <c r="I269" s="3" t="inlineStr">
        <is>
          <t>Active</t>
        </is>
      </c>
      <c r="J269" s="3" t="inlineStr">
        <is>
          <t>Rare Earth Salt / Oxide</t>
        </is>
      </c>
      <c r="O269" s="5" t="inlineStr">
        <is>
          <t>291990</t>
        </is>
      </c>
    </row>
    <row r="270" ht="15.75" customHeight="1" s="19">
      <c r="A270" s="3" t="n">
        <v>144</v>
      </c>
      <c r="B270" s="3" t="inlineStr">
        <is>
          <t>Nickel Titanium Alloy Nanoparticles</t>
        </is>
      </c>
      <c r="C270" s="3" t="inlineStr">
        <is>
          <t>7440-02-0</t>
        </is>
      </c>
      <c r="D270" s="8" t="inlineStr">
        <is>
          <t>750400</t>
        </is>
      </c>
      <c r="E270" s="3" t="inlineStr">
        <is>
          <t>Metal Powder / Alloy</t>
        </is>
      </c>
      <c r="F270" s="3" t="inlineStr">
        <is>
          <t>High</t>
        </is>
      </c>
      <c r="G270" s="3" t="inlineStr">
        <is>
          <t>Powder metallurgy, additive manufacturing</t>
        </is>
      </c>
      <c r="H270" s="3" t="inlineStr">
        <is>
          <t>Thermal spray coatings</t>
        </is>
      </c>
      <c r="I270" s="3" t="inlineStr">
        <is>
          <t>Bulk</t>
        </is>
      </c>
      <c r="J270" s="3" t="inlineStr">
        <is>
          <t>Elemental Metal / Alloy</t>
        </is>
      </c>
      <c r="O270" s="5" t="inlineStr">
        <is>
          <t>282759</t>
        </is>
      </c>
    </row>
    <row r="271" ht="15.75" customHeight="1" s="19">
      <c r="A271" s="3" t="n">
        <v>145</v>
      </c>
      <c r="B271" s="3" t="inlineStr">
        <is>
          <t>Cesium Chromate</t>
        </is>
      </c>
      <c r="C271" s="3" t="inlineStr">
        <is>
          <t>13454-78-9</t>
        </is>
      </c>
      <c r="D271" s="8" t="inlineStr">
        <is>
          <t>284150</t>
        </is>
      </c>
      <c r="E271" s="3" t="inlineStr">
        <is>
          <t>Chromium Compound</t>
        </is>
      </c>
      <c r="F271" s="3" t="inlineStr">
        <is>
          <t>High</t>
        </is>
      </c>
      <c r="G271" s="3" t="inlineStr">
        <is>
          <t>Electroplating, leather tanning</t>
        </is>
      </c>
      <c r="H271" s="3" t="inlineStr">
        <is>
          <t>Pigments, catalysis</t>
        </is>
      </c>
      <c r="I271" s="3" t="inlineStr">
        <is>
          <t>Bulk</t>
        </is>
      </c>
      <c r="J271" s="3" t="inlineStr">
        <is>
          <t>Transition Metal Salt</t>
        </is>
      </c>
      <c r="O271" s="5" t="inlineStr">
        <is>
          <t>720292</t>
        </is>
      </c>
    </row>
    <row r="272" ht="15.75" customHeight="1" s="19">
      <c r="A272" s="3" t="n">
        <v>146</v>
      </c>
      <c r="B272" s="3" t="inlineStr">
        <is>
          <t>Nickel Citrate</t>
        </is>
      </c>
      <c r="C272" s="3" t="inlineStr">
        <is>
          <t>6018-92-4</t>
        </is>
      </c>
      <c r="D272" s="8" t="inlineStr">
        <is>
          <t>291815</t>
        </is>
      </c>
      <c r="E272" s="3" t="inlineStr">
        <is>
          <t>Nickel Compound</t>
        </is>
      </c>
      <c r="F272" s="3" t="inlineStr">
        <is>
          <t>High</t>
        </is>
      </c>
      <c r="G272" s="3" t="inlineStr">
        <is>
          <t>Electroplating, batteries</t>
        </is>
      </c>
      <c r="H272" s="3" t="inlineStr">
        <is>
          <t>Catalysis, ceramics</t>
        </is>
      </c>
      <c r="I272" s="3" t="inlineStr">
        <is>
          <t>Bulk</t>
        </is>
      </c>
      <c r="J272" s="3" t="inlineStr">
        <is>
          <t>Transition Metal Salt</t>
        </is>
      </c>
      <c r="O272" s="5" t="inlineStr">
        <is>
          <t>284330</t>
        </is>
      </c>
    </row>
    <row r="273" ht="15.75" customHeight="1" s="19">
      <c r="A273" s="3" t="n">
        <v>147</v>
      </c>
      <c r="B273" s="3" t="inlineStr">
        <is>
          <t>Nickel (II) Fluoride Anhydrous</t>
        </is>
      </c>
      <c r="C273" s="3" t="inlineStr">
        <is>
          <t>10028-18-9</t>
        </is>
      </c>
      <c r="D273" s="8" t="inlineStr">
        <is>
          <t>282619</t>
        </is>
      </c>
      <c r="E273" s="3" t="inlineStr">
        <is>
          <t>Nickel Compound</t>
        </is>
      </c>
      <c r="F273" s="3" t="inlineStr">
        <is>
          <t>High</t>
        </is>
      </c>
      <c r="G273" s="3" t="inlineStr">
        <is>
          <t>Electroplating, batteries</t>
        </is>
      </c>
      <c r="H273" s="3" t="inlineStr">
        <is>
          <t>Catalysis, ceramics</t>
        </is>
      </c>
      <c r="I273" s="3" t="inlineStr">
        <is>
          <t>Bulk</t>
        </is>
      </c>
      <c r="J273" s="3" t="inlineStr">
        <is>
          <t>Transition Metal Salt</t>
        </is>
      </c>
      <c r="O273" s="5" t="inlineStr">
        <is>
          <t>711021</t>
        </is>
      </c>
    </row>
    <row r="274" ht="15.75" customHeight="1" s="19">
      <c r="A274" s="3" t="n">
        <v>148</v>
      </c>
      <c r="B274" s="3" t="inlineStr">
        <is>
          <t>Cadmium Sulphate Hydrate</t>
        </is>
      </c>
      <c r="C274" s="3" t="inlineStr">
        <is>
          <t>7790-84-3</t>
        </is>
      </c>
      <c r="D274" s="8" t="inlineStr">
        <is>
          <t>283329</t>
        </is>
      </c>
      <c r="E274" s="3" t="inlineStr">
        <is>
          <t>Cadmium Compound</t>
        </is>
      </c>
      <c r="F274" s="3" t="inlineStr">
        <is>
          <t>High</t>
        </is>
      </c>
      <c r="G274" s="3" t="inlineStr">
        <is>
          <t>Batteries (NiCd), pigments</t>
        </is>
      </c>
      <c r="H274" s="3" t="inlineStr">
        <is>
          <t>Electroplating, alloys</t>
        </is>
      </c>
      <c r="I274" s="3" t="inlineStr">
        <is>
          <t>Active</t>
        </is>
      </c>
      <c r="J274" s="3" t="inlineStr">
        <is>
          <t>Heavy Metal Salt</t>
        </is>
      </c>
      <c r="O274" s="5" t="inlineStr">
        <is>
          <t>711031</t>
        </is>
      </c>
    </row>
    <row r="275" ht="15.75" customHeight="1" s="19">
      <c r="A275" s="3" t="n">
        <v>149</v>
      </c>
      <c r="B275" s="3" t="inlineStr">
        <is>
          <t>Chromium (III) Chloride hexahydrate</t>
        </is>
      </c>
      <c r="C275" s="3" t="inlineStr">
        <is>
          <t>10060-12-5</t>
        </is>
      </c>
      <c r="D275" s="8" t="inlineStr">
        <is>
          <t>282739</t>
        </is>
      </c>
      <c r="E275" s="3" t="inlineStr">
        <is>
          <t>Chromium Compound</t>
        </is>
      </c>
      <c r="F275" s="3" t="inlineStr">
        <is>
          <t>High</t>
        </is>
      </c>
      <c r="G275" s="3" t="inlineStr">
        <is>
          <t>Electroplating, leather tanning</t>
        </is>
      </c>
      <c r="H275" s="3" t="inlineStr">
        <is>
          <t>Pigments, catalysis</t>
        </is>
      </c>
      <c r="I275" s="3" t="inlineStr">
        <is>
          <t>Bulk</t>
        </is>
      </c>
      <c r="J275" s="3" t="inlineStr">
        <is>
          <t>Transition Metal Salt</t>
        </is>
      </c>
      <c r="O275" s="5" t="inlineStr">
        <is>
          <t>710812</t>
        </is>
      </c>
    </row>
    <row r="276" ht="15.75" customHeight="1" s="19">
      <c r="A276" s="3" t="n">
        <v>150</v>
      </c>
      <c r="B276" s="3" t="inlineStr">
        <is>
          <t>Chromium (III) Nitrate Nonahydrate</t>
        </is>
      </c>
      <c r="C276" s="3" t="n"/>
      <c r="D276" s="8" t="inlineStr">
        <is>
          <t>283429</t>
        </is>
      </c>
      <c r="E276" s="3" t="inlineStr">
        <is>
          <t>Chromium Compound</t>
        </is>
      </c>
      <c r="F276" s="3" t="inlineStr">
        <is>
          <t>High</t>
        </is>
      </c>
      <c r="G276" s="3" t="inlineStr">
        <is>
          <t>Electroplating, leather tanning</t>
        </is>
      </c>
      <c r="H276" s="3" t="inlineStr">
        <is>
          <t>Pigments, catalysis</t>
        </is>
      </c>
      <c r="I276" s="3" t="inlineStr">
        <is>
          <t>Bulk</t>
        </is>
      </c>
      <c r="J276" s="3" t="inlineStr">
        <is>
          <t>Transition Metal Salt</t>
        </is>
      </c>
      <c r="O276" s="5" t="inlineStr">
        <is>
          <t>284290</t>
        </is>
      </c>
    </row>
    <row r="277" ht="15.75" customHeight="1" s="19">
      <c r="A277" s="3" t="n">
        <v>151</v>
      </c>
      <c r="B277" s="3" t="inlineStr">
        <is>
          <t>CHROMIUM (III) PERCHLORATE HEXAHYDRATE</t>
        </is>
      </c>
      <c r="C277" s="3" t="inlineStr">
        <is>
          <t>55147-94-9</t>
        </is>
      </c>
      <c r="D277" s="8" t="inlineStr">
        <is>
          <t>282990</t>
        </is>
      </c>
      <c r="E277" s="3" t="inlineStr">
        <is>
          <t>Chromium Compound</t>
        </is>
      </c>
      <c r="F277" s="3" t="inlineStr">
        <is>
          <t>High</t>
        </is>
      </c>
      <c r="G277" s="3" t="inlineStr">
        <is>
          <t>Electroplating, leather tanning</t>
        </is>
      </c>
      <c r="H277" s="3" t="inlineStr">
        <is>
          <t>Pigments, catalysis</t>
        </is>
      </c>
      <c r="I277" s="3" t="inlineStr">
        <is>
          <t>Bulk</t>
        </is>
      </c>
      <c r="J277" s="3" t="inlineStr">
        <is>
          <t>Transition Metal Salt</t>
        </is>
      </c>
      <c r="O277" s="5" t="inlineStr">
        <is>
          <t>283429</t>
        </is>
      </c>
    </row>
    <row r="278" ht="15.75" customHeight="1" s="19">
      <c r="A278" s="3" t="n">
        <v>152</v>
      </c>
      <c r="B278" s="3" t="inlineStr">
        <is>
          <t>CHROMIUM (III) SULFATE HYDRATE</t>
        </is>
      </c>
      <c r="C278" s="3" t="inlineStr">
        <is>
          <t>15244-38-9</t>
        </is>
      </c>
      <c r="D278" s="8" t="inlineStr">
        <is>
          <t>283329</t>
        </is>
      </c>
      <c r="E278" s="3" t="inlineStr">
        <is>
          <t>Chromium Compound</t>
        </is>
      </c>
      <c r="F278" s="3" t="inlineStr">
        <is>
          <t>High</t>
        </is>
      </c>
      <c r="G278" s="3" t="inlineStr">
        <is>
          <t>Electroplating, leather tanning</t>
        </is>
      </c>
      <c r="H278" s="3" t="inlineStr">
        <is>
          <t>Pigments, catalysis</t>
        </is>
      </c>
      <c r="I278" s="3" t="inlineStr">
        <is>
          <t>Bulk</t>
        </is>
      </c>
      <c r="J278" s="3" t="inlineStr">
        <is>
          <t>Transition Metal Salt</t>
        </is>
      </c>
      <c r="O278" s="5" t="inlineStr">
        <is>
          <t>281900</t>
        </is>
      </c>
    </row>
    <row r="279" ht="15.75" customHeight="1" s="19">
      <c r="A279" s="3" t="n">
        <v>153</v>
      </c>
      <c r="B279" s="3" t="inlineStr">
        <is>
          <t>Nickel (II) Nitrate Hexahydrate</t>
        </is>
      </c>
      <c r="C279" s="3" t="inlineStr">
        <is>
          <t>13478-00-7</t>
        </is>
      </c>
      <c r="D279" s="8" t="inlineStr">
        <is>
          <t>283429</t>
        </is>
      </c>
      <c r="E279" s="3" t="inlineStr">
        <is>
          <t>Nickel Compound</t>
        </is>
      </c>
      <c r="F279" s="3" t="inlineStr">
        <is>
          <t>High</t>
        </is>
      </c>
      <c r="G279" s="3" t="inlineStr">
        <is>
          <t>Electroplating, batteries</t>
        </is>
      </c>
      <c r="H279" s="3" t="inlineStr">
        <is>
          <t>Catalysis, ceramics</t>
        </is>
      </c>
      <c r="I279" s="3" t="inlineStr">
        <is>
          <t>Bulk</t>
        </is>
      </c>
      <c r="J279" s="3" t="inlineStr">
        <is>
          <t>Transition Metal Salt</t>
        </is>
      </c>
      <c r="O279" s="5" t="inlineStr">
        <is>
          <t>291529</t>
        </is>
      </c>
    </row>
    <row r="280" ht="15.75" customHeight="1" s="19">
      <c r="A280" s="3" t="n">
        <v>154</v>
      </c>
      <c r="B280" s="3" t="inlineStr">
        <is>
          <t>Cobalt (II) Chloride Hexahydrate</t>
        </is>
      </c>
      <c r="C280" s="3" t="inlineStr">
        <is>
          <t>7791-13-1</t>
        </is>
      </c>
      <c r="D280" s="8" t="inlineStr">
        <is>
          <t>282739</t>
        </is>
      </c>
      <c r="E280" s="3" t="inlineStr">
        <is>
          <t>Cobalt Compound</t>
        </is>
      </c>
      <c r="F280" s="3" t="inlineStr">
        <is>
          <t>High</t>
        </is>
      </c>
      <c r="G280" s="3" t="inlineStr">
        <is>
          <t>Battery cathodes, catalysts</t>
        </is>
      </c>
      <c r="H280" s="3" t="inlineStr">
        <is>
          <t>Pigments, driers</t>
        </is>
      </c>
      <c r="I280" s="3" t="inlineStr">
        <is>
          <t>Active</t>
        </is>
      </c>
      <c r="J280" s="3" t="inlineStr">
        <is>
          <t>Transition Metal Salt</t>
        </is>
      </c>
      <c r="O280" s="5" t="inlineStr">
        <is>
          <t>282739</t>
        </is>
      </c>
    </row>
    <row r="281" ht="15.75" customHeight="1" s="19">
      <c r="A281" s="3" t="n">
        <v>155</v>
      </c>
      <c r="B281" s="3" t="inlineStr">
        <is>
          <t>Cobalt (II) Chloride Anhydrous</t>
        </is>
      </c>
      <c r="C281" s="3" t="inlineStr">
        <is>
          <t>7646-79-9</t>
        </is>
      </c>
      <c r="D281" s="8" t="inlineStr">
        <is>
          <t>282739</t>
        </is>
      </c>
      <c r="E281" s="3" t="inlineStr">
        <is>
          <t>Cobalt Compound</t>
        </is>
      </c>
      <c r="F281" s="3" t="inlineStr">
        <is>
          <t>High</t>
        </is>
      </c>
      <c r="G281" s="3" t="inlineStr">
        <is>
          <t>Battery cathodes, catalysts</t>
        </is>
      </c>
      <c r="H281" s="3" t="inlineStr">
        <is>
          <t>Pigments, driers</t>
        </is>
      </c>
      <c r="I281" s="3" t="inlineStr">
        <is>
          <t>Active</t>
        </is>
      </c>
      <c r="J281" s="3" t="inlineStr">
        <is>
          <t>Transition Metal Salt</t>
        </is>
      </c>
      <c r="O281" s="5" t="inlineStr">
        <is>
          <t>282550</t>
        </is>
      </c>
    </row>
    <row r="282" ht="15.75" customHeight="1" s="19">
      <c r="A282" s="3" t="n">
        <v>156</v>
      </c>
      <c r="B282" s="3" t="inlineStr">
        <is>
          <t>Ammonium Zirconium Carbonate (AZC)</t>
        </is>
      </c>
      <c r="C282" s="3" t="inlineStr">
        <is>
          <t>68309-95-5</t>
        </is>
      </c>
      <c r="D282" s="8" t="inlineStr">
        <is>
          <t>283699</t>
        </is>
      </c>
      <c r="E282" s="3" t="inlineStr">
        <is>
          <t>Ammonium Salt</t>
        </is>
      </c>
      <c r="F282" s="3" t="inlineStr">
        <is>
          <t>High</t>
        </is>
      </c>
      <c r="G282" s="3" t="inlineStr">
        <is>
          <t>Analytical chemistry, etching</t>
        </is>
      </c>
      <c r="H282" s="3" t="inlineStr">
        <is>
          <t>Fertilizers, water treatment</t>
        </is>
      </c>
      <c r="I282" s="3" t="inlineStr">
        <is>
          <t>Bulk</t>
        </is>
      </c>
      <c r="J282" s="3" t="inlineStr">
        <is>
          <t>Inorganic Ammonium Salt</t>
        </is>
      </c>
      <c r="O282" s="5" t="inlineStr">
        <is>
          <t>284150</t>
        </is>
      </c>
    </row>
    <row r="283" ht="15.75" customHeight="1" s="19">
      <c r="A283" s="3" t="n">
        <v>157</v>
      </c>
      <c r="B283" s="3" t="inlineStr">
        <is>
          <t>Cobalt (II) Fluoride</t>
        </is>
      </c>
      <c r="C283" s="3" t="inlineStr">
        <is>
          <t>13817-37-3</t>
        </is>
      </c>
      <c r="D283" s="8" t="inlineStr">
        <is>
          <t>282619</t>
        </is>
      </c>
      <c r="E283" s="3" t="inlineStr">
        <is>
          <t>Cobalt Compound</t>
        </is>
      </c>
      <c r="F283" s="3" t="inlineStr">
        <is>
          <t>High</t>
        </is>
      </c>
      <c r="G283" s="3" t="inlineStr">
        <is>
          <t>Battery cathodes, catalysts</t>
        </is>
      </c>
      <c r="H283" s="3" t="inlineStr">
        <is>
          <t>Pigments, driers</t>
        </is>
      </c>
      <c r="I283" s="3" t="inlineStr">
        <is>
          <t>Active</t>
        </is>
      </c>
      <c r="J283" s="3" t="inlineStr">
        <is>
          <t>Transition Metal Salt</t>
        </is>
      </c>
      <c r="O283" s="5" t="inlineStr">
        <is>
          <t>283324</t>
        </is>
      </c>
    </row>
    <row r="284" ht="15.75" customHeight="1" s="19">
      <c r="A284" s="3" t="n">
        <v>158</v>
      </c>
      <c r="B284" s="3" t="inlineStr">
        <is>
          <t>Isobutyl Magnesium Bromide Series</t>
        </is>
      </c>
      <c r="C284" s="3" t="inlineStr">
        <is>
          <t>926-62-5</t>
        </is>
      </c>
      <c r="D284" s="8" t="inlineStr">
        <is>
          <t>293190</t>
        </is>
      </c>
      <c r="E284" s="3" t="inlineStr">
        <is>
          <t>Grignard Reagent</t>
        </is>
      </c>
      <c r="F284" s="3" t="inlineStr">
        <is>
          <t>High</t>
        </is>
      </c>
      <c r="G284" s="3" t="inlineStr">
        <is>
          <t>Pharmaceutical synthesis</t>
        </is>
      </c>
      <c r="H284" s="3" t="inlineStr">
        <is>
          <t>Fine chemical manufacturing</t>
        </is>
      </c>
      <c r="I284" s="3" t="inlineStr">
        <is>
          <t>Active</t>
        </is>
      </c>
      <c r="J284" s="3" t="inlineStr">
        <is>
          <t>Organometallic Reagent</t>
        </is>
      </c>
      <c r="O284" s="5" t="inlineStr">
        <is>
          <t>282619</t>
        </is>
      </c>
    </row>
    <row r="285" ht="15.75" customHeight="1" s="19">
      <c r="A285" s="3" t="n">
        <v>159</v>
      </c>
      <c r="B285" s="3" t="inlineStr">
        <is>
          <t>Cobalt (II) Perchlorate</t>
        </is>
      </c>
      <c r="C285" s="3" t="inlineStr">
        <is>
          <t>13478-33-6</t>
        </is>
      </c>
      <c r="D285" s="8" t="inlineStr">
        <is>
          <t>282990</t>
        </is>
      </c>
      <c r="E285" s="3" t="inlineStr">
        <is>
          <t>Cobalt Compound</t>
        </is>
      </c>
      <c r="F285" s="3" t="inlineStr">
        <is>
          <t>High</t>
        </is>
      </c>
      <c r="G285" s="3" t="inlineStr">
        <is>
          <t>Battery cathodes, catalysts</t>
        </is>
      </c>
      <c r="H285" s="3" t="inlineStr">
        <is>
          <t>Pigments, driers</t>
        </is>
      </c>
      <c r="I285" s="3" t="inlineStr">
        <is>
          <t>Active</t>
        </is>
      </c>
      <c r="J285" s="3" t="inlineStr">
        <is>
          <t>Transition Metal Salt</t>
        </is>
      </c>
      <c r="O285" s="5" t="inlineStr">
        <is>
          <t>290541</t>
        </is>
      </c>
    </row>
    <row r="286" ht="15.75" customHeight="1" s="19">
      <c r="A286" s="3" t="n">
        <v>160</v>
      </c>
      <c r="B286" s="3" t="inlineStr">
        <is>
          <t>Copper (II) Acetate</t>
        </is>
      </c>
      <c r="C286" s="3" t="inlineStr">
        <is>
          <t>142-71-2</t>
        </is>
      </c>
      <c r="D286" s="8" t="inlineStr">
        <is>
          <t>291529</t>
        </is>
      </c>
      <c r="E286" s="3" t="inlineStr">
        <is>
          <t>Copper Compound</t>
        </is>
      </c>
      <c r="F286" s="3" t="inlineStr">
        <is>
          <t>High</t>
        </is>
      </c>
      <c r="G286" s="3" t="inlineStr">
        <is>
          <t>Electroplating, agrochemicals</t>
        </is>
      </c>
      <c r="H286" s="3" t="inlineStr">
        <is>
          <t>Catalysis, wood preservation</t>
        </is>
      </c>
      <c r="I286" s="3" t="inlineStr">
        <is>
          <t>Bulk</t>
        </is>
      </c>
      <c r="J286" s="3" t="inlineStr">
        <is>
          <t>Transition Metal Salt</t>
        </is>
      </c>
      <c r="O286" s="5" t="inlineStr">
        <is>
          <t>282590</t>
        </is>
      </c>
    </row>
    <row r="287" ht="15.75" customHeight="1" s="19">
      <c r="A287" s="3" t="n">
        <v>161</v>
      </c>
      <c r="B287" s="3" t="inlineStr">
        <is>
          <t>Copper (II) Hydroxide Carbonate</t>
        </is>
      </c>
      <c r="C287" s="3" t="inlineStr">
        <is>
          <t>12069-69-1</t>
        </is>
      </c>
      <c r="D287" s="8" t="inlineStr">
        <is>
          <t>282550</t>
        </is>
      </c>
      <c r="E287" s="3" t="inlineStr">
        <is>
          <t>Copper Compound</t>
        </is>
      </c>
      <c r="F287" s="3" t="inlineStr">
        <is>
          <t>High</t>
        </is>
      </c>
      <c r="G287" s="3" t="inlineStr">
        <is>
          <t>Electroplating, agrochemicals</t>
        </is>
      </c>
      <c r="H287" s="3" t="inlineStr">
        <is>
          <t>Catalysis, wood preservation</t>
        </is>
      </c>
      <c r="I287" s="3" t="inlineStr">
        <is>
          <t>Bulk</t>
        </is>
      </c>
      <c r="J287" s="3" t="inlineStr">
        <is>
          <t>Transition Metal Salt</t>
        </is>
      </c>
      <c r="O287" s="5" t="inlineStr">
        <is>
          <t>281190</t>
        </is>
      </c>
    </row>
    <row r="288" ht="15.75" customHeight="1" s="19">
      <c r="A288" s="3" t="n">
        <v>162</v>
      </c>
      <c r="B288" s="3" t="inlineStr">
        <is>
          <t>Copper (II) Perchlorate</t>
        </is>
      </c>
      <c r="C288" s="3" t="inlineStr">
        <is>
          <t>10294-46-9</t>
        </is>
      </c>
      <c r="D288" s="8" t="inlineStr">
        <is>
          <t>282990</t>
        </is>
      </c>
      <c r="E288" s="3" t="inlineStr">
        <is>
          <t>Copper Compound</t>
        </is>
      </c>
      <c r="F288" s="3" t="inlineStr">
        <is>
          <t>High</t>
        </is>
      </c>
      <c r="G288" s="3" t="inlineStr">
        <is>
          <t>Electroplating, agrochemicals</t>
        </is>
      </c>
      <c r="H288" s="3" t="inlineStr">
        <is>
          <t>Catalysis, wood preservation</t>
        </is>
      </c>
      <c r="I288" s="3" t="inlineStr">
        <is>
          <t>Bulk</t>
        </is>
      </c>
      <c r="J288" s="3" t="inlineStr">
        <is>
          <t>Transition Metal Salt</t>
        </is>
      </c>
      <c r="O288" s="5" t="inlineStr">
        <is>
          <t>284170</t>
        </is>
      </c>
    </row>
    <row r="289" ht="15.75" customHeight="1" s="19">
      <c r="A289" s="3" t="n">
        <v>163</v>
      </c>
      <c r="B289" s="3" t="inlineStr">
        <is>
          <t>Lead (II) Acetate trihydrate</t>
        </is>
      </c>
      <c r="C289" s="3" t="inlineStr">
        <is>
          <t>6080-56-4</t>
        </is>
      </c>
      <c r="D289" s="8" t="inlineStr">
        <is>
          <t>291529</t>
        </is>
      </c>
      <c r="E289" s="3" t="inlineStr">
        <is>
          <t>Lead Compound</t>
        </is>
      </c>
      <c r="F289" s="3" t="inlineStr">
        <is>
          <t>High</t>
        </is>
      </c>
      <c r="G289" s="3" t="inlineStr">
        <is>
          <t>Batteries (lead-acid)</t>
        </is>
      </c>
      <c r="H289" s="3" t="inlineStr">
        <is>
          <t>Radiation shielding, glass</t>
        </is>
      </c>
      <c r="I289" s="3" t="inlineStr">
        <is>
          <t>Bulk</t>
        </is>
      </c>
      <c r="J289" s="3" t="inlineStr">
        <is>
          <t>Heavy Metal Salt</t>
        </is>
      </c>
      <c r="O289" s="5" t="inlineStr">
        <is>
          <t>283010</t>
        </is>
      </c>
    </row>
    <row r="290" ht="15.75" customHeight="1" s="19">
      <c r="A290" s="3" t="n">
        <v>164</v>
      </c>
      <c r="B290" s="3" t="inlineStr">
        <is>
          <t>Lead (II) Acetate Basic</t>
        </is>
      </c>
      <c r="C290" s="3" t="inlineStr">
        <is>
          <t>51404-69-4</t>
        </is>
      </c>
      <c r="D290" s="8" t="inlineStr">
        <is>
          <t>291529</t>
        </is>
      </c>
      <c r="E290" s="3" t="inlineStr">
        <is>
          <t>Lead Compound</t>
        </is>
      </c>
      <c r="F290" s="3" t="inlineStr">
        <is>
          <t>High</t>
        </is>
      </c>
      <c r="G290" s="3" t="inlineStr">
        <is>
          <t>Batteries (lead-acid)</t>
        </is>
      </c>
      <c r="H290" s="3" t="inlineStr">
        <is>
          <t>Radiation shielding, glass</t>
        </is>
      </c>
      <c r="I290" s="3" t="inlineStr">
        <is>
          <t>Bulk</t>
        </is>
      </c>
      <c r="J290" s="3" t="inlineStr">
        <is>
          <t>Heavy Metal Salt</t>
        </is>
      </c>
      <c r="O290" s="5" t="inlineStr">
        <is>
          <t>282749</t>
        </is>
      </c>
    </row>
    <row r="291" ht="15.75" customHeight="1" s="19">
      <c r="A291" s="3" t="n">
        <v>165</v>
      </c>
      <c r="B291" s="3" t="inlineStr">
        <is>
          <t>Lead (II) Citrate trihydrate</t>
        </is>
      </c>
      <c r="C291" s="3" t="inlineStr">
        <is>
          <t>6107-83-1</t>
        </is>
      </c>
      <c r="D291" s="8" t="inlineStr">
        <is>
          <t>291815</t>
        </is>
      </c>
      <c r="E291" s="3" t="inlineStr">
        <is>
          <t>Lead Compound</t>
        </is>
      </c>
      <c r="F291" s="3" t="inlineStr">
        <is>
          <t>High</t>
        </is>
      </c>
      <c r="G291" s="3" t="inlineStr">
        <is>
          <t>Batteries (lead-acid)</t>
        </is>
      </c>
      <c r="H291" s="3" t="inlineStr">
        <is>
          <t>Radiation shielding, glass</t>
        </is>
      </c>
      <c r="I291" s="3" t="inlineStr">
        <is>
          <t>Bulk</t>
        </is>
      </c>
      <c r="J291" s="3" t="inlineStr">
        <is>
          <t>Heavy Metal Salt</t>
        </is>
      </c>
      <c r="O291" s="5" t="inlineStr">
        <is>
          <t>282990</t>
        </is>
      </c>
    </row>
    <row r="292" ht="15.75" customHeight="1" s="19">
      <c r="A292" s="3" t="n">
        <v>166</v>
      </c>
      <c r="B292" s="3" t="inlineStr">
        <is>
          <t>Nickel (II) Oxide Black</t>
        </is>
      </c>
      <c r="C292" s="3" t="inlineStr">
        <is>
          <t>1314-06-3</t>
        </is>
      </c>
      <c r="D292" s="8" t="inlineStr">
        <is>
          <t>282540</t>
        </is>
      </c>
      <c r="E292" s="3" t="inlineStr">
        <is>
          <t>Nickel Compound</t>
        </is>
      </c>
      <c r="F292" s="3" t="inlineStr">
        <is>
          <t>High</t>
        </is>
      </c>
      <c r="G292" s="3" t="inlineStr">
        <is>
          <t>Electroplating, batteries</t>
        </is>
      </c>
      <c r="H292" s="3" t="inlineStr">
        <is>
          <t>Catalysis, ceramics</t>
        </is>
      </c>
      <c r="I292" s="3" t="inlineStr">
        <is>
          <t>Bulk</t>
        </is>
      </c>
      <c r="J292" s="3" t="inlineStr">
        <is>
          <t>Transition Metal Salt</t>
        </is>
      </c>
      <c r="O292" s="5" t="inlineStr">
        <is>
          <t>281290</t>
        </is>
      </c>
    </row>
    <row r="293" ht="15.75" customHeight="1" s="19">
      <c r="A293" s="3" t="n">
        <v>167</v>
      </c>
      <c r="B293" s="3" t="inlineStr">
        <is>
          <t>Lead (II) Perchlorate trihydrate</t>
        </is>
      </c>
      <c r="C293" s="3" t="inlineStr">
        <is>
          <t>13453-62-8</t>
        </is>
      </c>
      <c r="D293" s="8" t="inlineStr">
        <is>
          <t>282990</t>
        </is>
      </c>
      <c r="E293" s="3" t="inlineStr">
        <is>
          <t>Lead Compound</t>
        </is>
      </c>
      <c r="F293" s="3" t="inlineStr">
        <is>
          <t>High</t>
        </is>
      </c>
      <c r="G293" s="3" t="inlineStr">
        <is>
          <t>Batteries (lead-acid)</t>
        </is>
      </c>
      <c r="H293" s="3" t="inlineStr">
        <is>
          <t>Radiation shielding, glass</t>
        </is>
      </c>
      <c r="I293" s="3" t="inlineStr">
        <is>
          <t>Bulk</t>
        </is>
      </c>
      <c r="J293" s="3" t="inlineStr">
        <is>
          <t>Heavy Metal Salt</t>
        </is>
      </c>
      <c r="O293" s="5" t="inlineStr">
        <is>
          <t>283526</t>
        </is>
      </c>
    </row>
    <row r="294" ht="15.75" customHeight="1" s="19">
      <c r="A294" s="3" t="n">
        <v>168</v>
      </c>
      <c r="B294" s="3" t="inlineStr">
        <is>
          <t>Lead (IV) Oxide</t>
        </is>
      </c>
      <c r="C294" s="3" t="inlineStr">
        <is>
          <t>1309-60-0</t>
        </is>
      </c>
      <c r="D294" s="8" t="inlineStr">
        <is>
          <t>282490</t>
        </is>
      </c>
      <c r="E294" s="3" t="inlineStr">
        <is>
          <t>Lead Compound</t>
        </is>
      </c>
      <c r="F294" s="3" t="inlineStr">
        <is>
          <t>High</t>
        </is>
      </c>
      <c r="G294" s="3" t="inlineStr">
        <is>
          <t>Batteries (lead-acid)</t>
        </is>
      </c>
      <c r="H294" s="3" t="inlineStr">
        <is>
          <t>Radiation shielding, glass</t>
        </is>
      </c>
      <c r="I294" s="3" t="inlineStr">
        <is>
          <t>Bulk</t>
        </is>
      </c>
      <c r="J294" s="3" t="inlineStr">
        <is>
          <t>Heavy Metal Salt</t>
        </is>
      </c>
      <c r="O294" s="5" t="inlineStr">
        <is>
          <t>750400</t>
        </is>
      </c>
    </row>
    <row r="295" ht="15.75" customHeight="1" s="19">
      <c r="A295" s="3" t="n">
        <v>169</v>
      </c>
      <c r="B295" s="3" t="inlineStr">
        <is>
          <t>Lead(II) Sulfide</t>
        </is>
      </c>
      <c r="C295" s="3" t="inlineStr">
        <is>
          <t>1314-87-0</t>
        </is>
      </c>
      <c r="D295" s="8" t="inlineStr">
        <is>
          <t>283010</t>
        </is>
      </c>
      <c r="E295" s="3" t="inlineStr">
        <is>
          <t>Lead Compound</t>
        </is>
      </c>
      <c r="F295" s="3" t="inlineStr">
        <is>
          <t>High</t>
        </is>
      </c>
      <c r="G295" s="3" t="inlineStr">
        <is>
          <t>Batteries (lead-acid)</t>
        </is>
      </c>
      <c r="H295" s="3" t="inlineStr">
        <is>
          <t>Radiation shielding, glass</t>
        </is>
      </c>
      <c r="I295" s="3" t="inlineStr">
        <is>
          <t>Bulk</t>
        </is>
      </c>
      <c r="J295" s="3" t="inlineStr">
        <is>
          <t>Heavy Metal Salt</t>
        </is>
      </c>
      <c r="O295" s="5" t="inlineStr">
        <is>
          <t>282490</t>
        </is>
      </c>
    </row>
    <row r="296" ht="15.75" customHeight="1" s="19">
      <c r="A296" s="3" t="n">
        <v>170</v>
      </c>
      <c r="B296" s="3" t="inlineStr">
        <is>
          <t>Ethyl Magnesium Iodide Series</t>
        </is>
      </c>
      <c r="C296" s="3" t="inlineStr">
        <is>
          <t>10467-10-4</t>
        </is>
      </c>
      <c r="D296" s="8" t="inlineStr">
        <is>
          <t>293190</t>
        </is>
      </c>
      <c r="E296" s="3" t="inlineStr">
        <is>
          <t>Grignard Reagent</t>
        </is>
      </c>
      <c r="F296" s="3" t="inlineStr">
        <is>
          <t>High</t>
        </is>
      </c>
      <c r="G296" s="3" t="inlineStr">
        <is>
          <t>Pharmaceutical synthesis</t>
        </is>
      </c>
      <c r="H296" s="3" t="inlineStr">
        <is>
          <t>Fine chemical manufacturing</t>
        </is>
      </c>
      <c r="I296" s="3" t="inlineStr">
        <is>
          <t>Active</t>
        </is>
      </c>
      <c r="J296" s="3" t="inlineStr">
        <is>
          <t>Organometallic Reagent</t>
        </is>
      </c>
      <c r="O296" s="5" t="inlineStr">
        <is>
          <t>283692</t>
        </is>
      </c>
    </row>
    <row r="297" ht="15.75" customHeight="1" s="19">
      <c r="A297" s="3" t="n">
        <v>171</v>
      </c>
      <c r="B297" s="3" t="inlineStr">
        <is>
          <t>Ethyl Magnesium Bromide Series</t>
        </is>
      </c>
      <c r="C297" s="3" t="inlineStr">
        <is>
          <t>925-90-6</t>
        </is>
      </c>
      <c r="D297" s="8" t="inlineStr">
        <is>
          <t>293190</t>
        </is>
      </c>
      <c r="E297" s="3" t="inlineStr">
        <is>
          <t>Grignard Reagent</t>
        </is>
      </c>
      <c r="F297" s="3" t="inlineStr">
        <is>
          <t>High</t>
        </is>
      </c>
      <c r="G297" s="3" t="inlineStr">
        <is>
          <t>Pharmaceutical synthesis</t>
        </is>
      </c>
      <c r="H297" s="3" t="inlineStr">
        <is>
          <t>Fine chemical manufacturing</t>
        </is>
      </c>
      <c r="I297" s="3" t="inlineStr">
        <is>
          <t>Active</t>
        </is>
      </c>
      <c r="J297" s="3" t="inlineStr">
        <is>
          <t>Organometallic Reagent</t>
        </is>
      </c>
      <c r="O297" s="5" t="inlineStr">
        <is>
          <t>285200</t>
        </is>
      </c>
    </row>
    <row r="298" ht="15.75" customHeight="1" s="19">
      <c r="A298" s="3" t="n">
        <v>172</v>
      </c>
      <c r="B298" s="3" t="inlineStr">
        <is>
          <t>Nickel (II) Sulfate Hexahydrate</t>
        </is>
      </c>
      <c r="C298" s="3" t="inlineStr">
        <is>
          <t>10101-97-0</t>
        </is>
      </c>
      <c r="D298" s="8" t="inlineStr">
        <is>
          <t>283324</t>
        </is>
      </c>
      <c r="E298" s="3" t="inlineStr">
        <is>
          <t>Nickel Compound</t>
        </is>
      </c>
      <c r="F298" s="3" t="inlineStr">
        <is>
          <t>High</t>
        </is>
      </c>
      <c r="G298" s="3" t="inlineStr">
        <is>
          <t>Electroplating, batteries</t>
        </is>
      </c>
      <c r="H298" s="3" t="inlineStr">
        <is>
          <t>Catalysis, ceramics</t>
        </is>
      </c>
      <c r="I298" s="3" t="inlineStr">
        <is>
          <t>Bulk</t>
        </is>
      </c>
      <c r="J298" s="3" t="inlineStr">
        <is>
          <t>Transition Metal Salt</t>
        </is>
      </c>
      <c r="O298" s="5" t="inlineStr">
        <is>
          <t>282735</t>
        </is>
      </c>
    </row>
    <row r="299" ht="15.75" customHeight="1" s="19">
      <c r="A299" s="3" t="n">
        <v>173</v>
      </c>
      <c r="B299" s="3" t="inlineStr">
        <is>
          <t>Cobaltous nitrate hexahydrate</t>
        </is>
      </c>
      <c r="C299" s="3" t="inlineStr">
        <is>
          <t>10026-22-9</t>
        </is>
      </c>
      <c r="D299" s="8" t="inlineStr">
        <is>
          <t>283429</t>
        </is>
      </c>
      <c r="E299" s="3" t="inlineStr">
        <is>
          <t>Cobalt Compound</t>
        </is>
      </c>
      <c r="F299" s="3" t="inlineStr">
        <is>
          <t>High</t>
        </is>
      </c>
      <c r="G299" s="3" t="inlineStr">
        <is>
          <t>Battery cathodes, catalysts</t>
        </is>
      </c>
      <c r="H299" s="3" t="inlineStr">
        <is>
          <t>Pigments, driers</t>
        </is>
      </c>
      <c r="I299" s="3" t="inlineStr">
        <is>
          <t>Active</t>
        </is>
      </c>
      <c r="J299" s="3" t="inlineStr">
        <is>
          <t>Transition Metal Salt</t>
        </is>
      </c>
      <c r="O299" s="5" t="inlineStr">
        <is>
          <t>284190</t>
        </is>
      </c>
    </row>
    <row r="300" ht="15.75" customHeight="1" s="19">
      <c r="A300" s="3" t="n">
        <v>174</v>
      </c>
      <c r="B300" s="3" t="inlineStr">
        <is>
          <t>Copper(II) nitrate trihydrate</t>
        </is>
      </c>
      <c r="C300" s="3" t="inlineStr">
        <is>
          <t>10031-43-3</t>
        </is>
      </c>
      <c r="D300" s="8" t="inlineStr">
        <is>
          <t>283429</t>
        </is>
      </c>
      <c r="E300" s="3" t="inlineStr">
        <is>
          <t>Copper Compound</t>
        </is>
      </c>
      <c r="F300" s="3" t="inlineStr">
        <is>
          <t>High</t>
        </is>
      </c>
      <c r="G300" s="3" t="inlineStr">
        <is>
          <t>Electroplating, agrochemicals</t>
        </is>
      </c>
      <c r="H300" s="3" t="inlineStr">
        <is>
          <t>Catalysis, wood preservation</t>
        </is>
      </c>
      <c r="I300" s="3" t="inlineStr">
        <is>
          <t>Bulk</t>
        </is>
      </c>
      <c r="J300" s="3" t="inlineStr">
        <is>
          <t>Transition Metal Salt</t>
        </is>
      </c>
      <c r="O300" s="5" t="inlineStr">
        <is>
          <t>810520</t>
        </is>
      </c>
    </row>
    <row r="301" ht="15.75" customHeight="1" s="19">
      <c r="A301" s="3" t="n">
        <v>175</v>
      </c>
      <c r="B301" s="3" t="inlineStr">
        <is>
          <t>Nickel carbonate</t>
        </is>
      </c>
      <c r="C301" s="3" t="inlineStr">
        <is>
          <t>3333-67-3</t>
        </is>
      </c>
      <c r="D301" s="8" t="inlineStr">
        <is>
          <t>283699</t>
        </is>
      </c>
      <c r="E301" s="3" t="inlineStr">
        <is>
          <t>Nickel Compound</t>
        </is>
      </c>
      <c r="F301" s="3" t="inlineStr">
        <is>
          <t>High</t>
        </is>
      </c>
      <c r="G301" s="3" t="inlineStr">
        <is>
          <t>Electroplating, batteries</t>
        </is>
      </c>
      <c r="H301" s="3" t="inlineStr">
        <is>
          <t>Catalysis, ceramics</t>
        </is>
      </c>
      <c r="I301" s="3" t="inlineStr">
        <is>
          <t>Bulk</t>
        </is>
      </c>
      <c r="J301" s="3" t="inlineStr">
        <is>
          <t>Transition Metal Salt</t>
        </is>
      </c>
      <c r="O301" s="5" t="inlineStr">
        <is>
          <t>811100</t>
        </is>
      </c>
    </row>
    <row r="302" ht="15.75" customHeight="1" s="19">
      <c r="A302" s="3" t="n">
        <v>176</v>
      </c>
      <c r="B302" s="3" t="inlineStr">
        <is>
          <t>Strontium carbonate</t>
        </is>
      </c>
      <c r="C302" s="3" t="n"/>
      <c r="D302" s="8" t="inlineStr">
        <is>
          <t>283692</t>
        </is>
      </c>
      <c r="E302" s="3" t="inlineStr">
        <is>
          <t>Strontium Compound</t>
        </is>
      </c>
      <c r="F302" s="3" t="inlineStr">
        <is>
          <t>High</t>
        </is>
      </c>
      <c r="G302" s="3" t="inlineStr">
        <is>
          <t>Fireworks, ceramics</t>
        </is>
      </c>
      <c r="H302" s="3" t="inlineStr">
        <is>
          <t>Ferrite magnets, glass</t>
        </is>
      </c>
      <c r="I302" s="3" t="inlineStr">
        <is>
          <t>Active</t>
        </is>
      </c>
      <c r="J302" s="3" t="inlineStr">
        <is>
          <t>Alkaline Earth Metal Salt</t>
        </is>
      </c>
      <c r="O302" s="5" t="inlineStr">
        <is>
          <t>811221</t>
        </is>
      </c>
    </row>
    <row r="303" ht="15.75" customHeight="1" s="19">
      <c r="A303" s="3" t="n">
        <v>177</v>
      </c>
      <c r="B303" s="3" t="inlineStr">
        <is>
          <t>Manganese (II) Acetate Tetrahydrate</t>
        </is>
      </c>
      <c r="C303" s="3" t="inlineStr">
        <is>
          <t>6156-78-1</t>
        </is>
      </c>
      <c r="D303" s="8" t="inlineStr">
        <is>
          <t>291529</t>
        </is>
      </c>
      <c r="E303" s="3" t="inlineStr">
        <is>
          <t>Manganese Compound</t>
        </is>
      </c>
      <c r="F303" s="3" t="inlineStr">
        <is>
          <t>High</t>
        </is>
      </c>
      <c r="G303" s="3" t="inlineStr">
        <is>
          <t>Batteries, steel production</t>
        </is>
      </c>
      <c r="H303" s="3" t="inlineStr">
        <is>
          <t>Pigments, fertilizers</t>
        </is>
      </c>
      <c r="I303" s="3" t="inlineStr">
        <is>
          <t>Bulk</t>
        </is>
      </c>
      <c r="J303" s="3" t="inlineStr">
        <is>
          <t>Transition Metal Salt</t>
        </is>
      </c>
      <c r="O303" s="5" t="inlineStr">
        <is>
          <t>710610</t>
        </is>
      </c>
    </row>
    <row r="304" ht="15.75" customHeight="1" s="19">
      <c r="A304" s="3" t="n">
        <v>178</v>
      </c>
      <c r="B304" s="3" t="inlineStr">
        <is>
          <t>Nickel Ammonium Sulfate</t>
        </is>
      </c>
      <c r="C304" s="3" t="inlineStr">
        <is>
          <t>7785-20-5</t>
        </is>
      </c>
      <c r="D304" s="8" t="inlineStr">
        <is>
          <t>283324</t>
        </is>
      </c>
      <c r="E304" s="3" t="inlineStr">
        <is>
          <t>Nickel Compound</t>
        </is>
      </c>
      <c r="F304" s="3" t="inlineStr">
        <is>
          <t>High</t>
        </is>
      </c>
      <c r="G304" s="3" t="inlineStr">
        <is>
          <t>Electroplating, batteries</t>
        </is>
      </c>
      <c r="H304" s="3" t="inlineStr">
        <is>
          <t>Catalysis, ceramics</t>
        </is>
      </c>
      <c r="I304" s="3" t="inlineStr">
        <is>
          <t>Bulk</t>
        </is>
      </c>
      <c r="J304" s="3" t="inlineStr">
        <is>
          <t>Transition Metal Salt</t>
        </is>
      </c>
      <c r="O304" s="5" t="inlineStr">
        <is>
          <t>740611</t>
        </is>
      </c>
    </row>
    <row r="305" ht="15.75" customHeight="1" s="19">
      <c r="A305" s="3" t="n">
        <v>179</v>
      </c>
      <c r="B305" s="3" t="inlineStr">
        <is>
          <t>Manganese (II) Bromide Tetrahydrate</t>
        </is>
      </c>
      <c r="C305" s="3" t="inlineStr">
        <is>
          <t>10031-20-6</t>
        </is>
      </c>
      <c r="D305" s="8" t="inlineStr">
        <is>
          <t>282759</t>
        </is>
      </c>
      <c r="E305" s="3" t="inlineStr">
        <is>
          <t>Manganese Compound</t>
        </is>
      </c>
      <c r="F305" s="3" t="inlineStr">
        <is>
          <t>High</t>
        </is>
      </c>
      <c r="G305" s="3" t="inlineStr">
        <is>
          <t>Batteries, steel production</t>
        </is>
      </c>
      <c r="H305" s="3" t="inlineStr">
        <is>
          <t>Pigments, fertilizers</t>
        </is>
      </c>
      <c r="I305" s="3" t="inlineStr">
        <is>
          <t>Bulk</t>
        </is>
      </c>
      <c r="J305" s="3" t="inlineStr">
        <is>
          <t>Transition Metal Salt</t>
        </is>
      </c>
      <c r="O305" s="5" t="inlineStr">
        <is>
          <t>810210</t>
        </is>
      </c>
    </row>
    <row r="306" ht="15.75" customHeight="1" s="19">
      <c r="A306" s="3" t="n">
        <v>180</v>
      </c>
      <c r="B306" s="3" t="inlineStr">
        <is>
          <t>Manganese (II) Carbonate</t>
        </is>
      </c>
      <c r="C306" s="3" t="inlineStr">
        <is>
          <t>598-62-9</t>
        </is>
      </c>
      <c r="D306" s="8" t="inlineStr">
        <is>
          <t>283699</t>
        </is>
      </c>
      <c r="E306" s="3" t="inlineStr">
        <is>
          <t>Manganese Compound</t>
        </is>
      </c>
      <c r="F306" s="3" t="inlineStr">
        <is>
          <t>High</t>
        </is>
      </c>
      <c r="G306" s="3" t="inlineStr">
        <is>
          <t>Batteries, steel production</t>
        </is>
      </c>
      <c r="H306" s="3" t="inlineStr">
        <is>
          <t>Pigments, fertilizers</t>
        </is>
      </c>
      <c r="I306" s="3" t="inlineStr">
        <is>
          <t>Bulk</t>
        </is>
      </c>
      <c r="J306" s="3" t="inlineStr">
        <is>
          <t>Transition Metal Salt</t>
        </is>
      </c>
      <c r="O306" s="5" t="inlineStr">
        <is>
          <t>283410</t>
        </is>
      </c>
    </row>
    <row r="307" ht="15.75" customHeight="1" s="19">
      <c r="A307" s="3" t="n">
        <v>181</v>
      </c>
      <c r="B307" s="3" t="inlineStr">
        <is>
          <t>Manganese (II) Chloride Anhydrous</t>
        </is>
      </c>
      <c r="C307" s="3" t="n"/>
      <c r="D307" s="8" t="inlineStr">
        <is>
          <t>282739</t>
        </is>
      </c>
      <c r="E307" s="3" t="inlineStr">
        <is>
          <t>Manganese Compound</t>
        </is>
      </c>
      <c r="F307" s="3" t="inlineStr">
        <is>
          <t>High</t>
        </is>
      </c>
      <c r="G307" s="3" t="inlineStr">
        <is>
          <t>Batteries, steel production</t>
        </is>
      </c>
      <c r="H307" s="3" t="inlineStr">
        <is>
          <t>Pigments, fertilizers</t>
        </is>
      </c>
      <c r="I307" s="3" t="inlineStr">
        <is>
          <t>Bulk</t>
        </is>
      </c>
      <c r="J307" s="3" t="inlineStr">
        <is>
          <t>Transition Metal Salt</t>
        </is>
      </c>
      <c r="O307" s="5" t="inlineStr">
        <is>
          <t>800110</t>
        </is>
      </c>
    </row>
    <row r="308" ht="15.75" customHeight="1" s="19">
      <c r="A308" s="3" t="n">
        <v>182</v>
      </c>
      <c r="B308" s="3" t="inlineStr">
        <is>
          <t>Methyl Magensium Chloride 3.0 M solution in THF</t>
        </is>
      </c>
      <c r="C308" s="3" t="inlineStr">
        <is>
          <t>676-58-4</t>
        </is>
      </c>
      <c r="D308" s="8" t="inlineStr">
        <is>
          <t>282739</t>
        </is>
      </c>
      <c r="E308" s="3" t="inlineStr">
        <is>
          <t>Inorganic Metal Compound</t>
        </is>
      </c>
      <c r="F308" s="3" t="inlineStr">
        <is>
          <t>Medium</t>
        </is>
      </c>
      <c r="G308" s="3" t="inlineStr">
        <is>
          <t>Chemical synthesis, research</t>
        </is>
      </c>
      <c r="H308" s="3" t="inlineStr">
        <is>
          <t>Industrial applications</t>
        </is>
      </c>
      <c r="I308" s="3" t="inlineStr">
        <is>
          <t>Bulk</t>
        </is>
      </c>
      <c r="J308" s="3" t="inlineStr">
        <is>
          <t>Metal Salt / Compound</t>
        </is>
      </c>
      <c r="O308" s="5" t="inlineStr">
        <is>
          <t>720510</t>
        </is>
      </c>
    </row>
    <row r="309" ht="15.75" customHeight="1" s="19">
      <c r="A309" s="3" t="n">
        <v>183</v>
      </c>
      <c r="B309" s="3" t="inlineStr">
        <is>
          <t>Manganese (II) Chloride Tetrahydrate</t>
        </is>
      </c>
      <c r="C309" s="3" t="inlineStr">
        <is>
          <t>13446-34-9</t>
        </is>
      </c>
      <c r="D309" s="8" t="inlineStr">
        <is>
          <t>282739</t>
        </is>
      </c>
      <c r="E309" s="3" t="inlineStr">
        <is>
          <t>Manganese Compound</t>
        </is>
      </c>
      <c r="F309" s="3" t="inlineStr">
        <is>
          <t>High</t>
        </is>
      </c>
      <c r="G309" s="3" t="inlineStr">
        <is>
          <t>Batteries, steel production</t>
        </is>
      </c>
      <c r="H309" s="3" t="inlineStr">
        <is>
          <t>Pigments, fertilizers</t>
        </is>
      </c>
      <c r="I309" s="3" t="inlineStr">
        <is>
          <t>Bulk</t>
        </is>
      </c>
      <c r="J309" s="3" t="inlineStr">
        <is>
          <t>Transition Metal Salt</t>
        </is>
      </c>
      <c r="O309" s="5" t="inlineStr">
        <is>
          <t>790310</t>
        </is>
      </c>
    </row>
    <row r="310" ht="15.75" customHeight="1" s="19">
      <c r="A310" s="3" t="n">
        <v>184</v>
      </c>
      <c r="B310" s="3" t="inlineStr">
        <is>
          <t>Manganese (II) Oxaltate</t>
        </is>
      </c>
      <c r="C310" s="3" t="inlineStr">
        <is>
          <t>6556-16-7</t>
        </is>
      </c>
      <c r="D310" s="8" t="inlineStr">
        <is>
          <t>284290</t>
        </is>
      </c>
      <c r="E310" s="3" t="inlineStr">
        <is>
          <t>Manganese Compound</t>
        </is>
      </c>
      <c r="F310" s="3" t="inlineStr">
        <is>
          <t>High</t>
        </is>
      </c>
      <c r="G310" s="3" t="inlineStr">
        <is>
          <t>Batteries, steel production</t>
        </is>
      </c>
      <c r="H310" s="3" t="inlineStr">
        <is>
          <t>Pigments, fertilizers</t>
        </is>
      </c>
      <c r="I310" s="3" t="inlineStr">
        <is>
          <t>Bulk</t>
        </is>
      </c>
      <c r="J310" s="3" t="inlineStr">
        <is>
          <t>Transition Metal Salt</t>
        </is>
      </c>
    </row>
    <row r="311" ht="15.75" customHeight="1" s="19">
      <c r="A311" s="3" t="n">
        <v>185</v>
      </c>
      <c r="B311" s="3" t="inlineStr">
        <is>
          <t>Manganese (II) Phosphate Hydrate</t>
        </is>
      </c>
      <c r="C311" s="3" t="inlineStr">
        <is>
          <t>104663-56-1</t>
        </is>
      </c>
      <c r="D311" s="8" t="inlineStr">
        <is>
          <t>283526</t>
        </is>
      </c>
      <c r="E311" s="3" t="inlineStr">
        <is>
          <t>Manganese Compound</t>
        </is>
      </c>
      <c r="F311" s="3" t="inlineStr">
        <is>
          <t>High</t>
        </is>
      </c>
      <c r="G311" s="3" t="inlineStr">
        <is>
          <t>Batteries, steel production</t>
        </is>
      </c>
      <c r="H311" s="3" t="inlineStr">
        <is>
          <t>Pigments, fertilizers</t>
        </is>
      </c>
      <c r="I311" s="3" t="inlineStr">
        <is>
          <t>Bulk</t>
        </is>
      </c>
      <c r="J311" s="3" t="inlineStr">
        <is>
          <t>Transition Metal Salt</t>
        </is>
      </c>
    </row>
    <row r="312" ht="15.75" customHeight="1" s="19">
      <c r="A312" s="3" t="n">
        <v>186</v>
      </c>
      <c r="B312" s="3" t="inlineStr">
        <is>
          <t>zinc sulf</t>
        </is>
      </c>
      <c r="C312" s="3" t="inlineStr">
        <is>
          <t>7446-19-7</t>
        </is>
      </c>
      <c r="D312" s="8" t="inlineStr">
        <is>
          <t>283329</t>
        </is>
      </c>
      <c r="E312" s="3" t="inlineStr">
        <is>
          <t>Zinc Compound</t>
        </is>
      </c>
      <c r="F312" s="3" t="inlineStr">
        <is>
          <t>High</t>
        </is>
      </c>
      <c r="G312" s="3" t="inlineStr">
        <is>
          <t>Galvanizing, rubber vulcanization</t>
        </is>
      </c>
      <c r="H312" s="3" t="inlineStr">
        <is>
          <t>Fertilizers, pharmaceuticals</t>
        </is>
      </c>
      <c r="I312" s="3" t="inlineStr">
        <is>
          <t>Bulk</t>
        </is>
      </c>
      <c r="J312" s="3" t="inlineStr">
        <is>
          <t>Transition Metal Salt</t>
        </is>
      </c>
    </row>
    <row r="313" ht="15.75" customHeight="1" s="19">
      <c r="A313" s="3" t="n">
        <v>187</v>
      </c>
      <c r="B313" s="3" t="inlineStr">
        <is>
          <t>Manganese (II) Perchlorate Hexahydrate</t>
        </is>
      </c>
      <c r="C313" s="3" t="inlineStr">
        <is>
          <t>15364-94-0</t>
        </is>
      </c>
      <c r="D313" s="8" t="inlineStr">
        <is>
          <t>282990</t>
        </is>
      </c>
      <c r="E313" s="3" t="inlineStr">
        <is>
          <t>Manganese Compound</t>
        </is>
      </c>
      <c r="F313" s="3" t="inlineStr">
        <is>
          <t>High</t>
        </is>
      </c>
      <c r="G313" s="3" t="inlineStr">
        <is>
          <t>Batteries, steel production</t>
        </is>
      </c>
      <c r="H313" s="3" t="inlineStr">
        <is>
          <t>Pigments, fertilizers</t>
        </is>
      </c>
      <c r="I313" s="3" t="inlineStr">
        <is>
          <t>Bulk</t>
        </is>
      </c>
      <c r="J313" s="3" t="inlineStr">
        <is>
          <t>Transition Metal Salt</t>
        </is>
      </c>
    </row>
    <row r="314" ht="15.75" customHeight="1" s="19">
      <c r="A314" s="3" t="n">
        <v>188</v>
      </c>
      <c r="B314" s="3" t="inlineStr">
        <is>
          <t>Cadmium Borate Hydrate</t>
        </is>
      </c>
      <c r="C314" s="3" t="inlineStr">
        <is>
          <t>127734-77-4</t>
        </is>
      </c>
      <c r="D314" s="8" t="inlineStr">
        <is>
          <t>284019</t>
        </is>
      </c>
      <c r="E314" s="3" t="inlineStr">
        <is>
          <t>Cadmium Compound</t>
        </is>
      </c>
      <c r="F314" s="3" t="inlineStr">
        <is>
          <t>High</t>
        </is>
      </c>
      <c r="G314" s="3" t="inlineStr">
        <is>
          <t>Batteries (NiCd), pigments</t>
        </is>
      </c>
      <c r="H314" s="3" t="inlineStr">
        <is>
          <t>Electroplating, alloys</t>
        </is>
      </c>
      <c r="I314" s="3" t="inlineStr">
        <is>
          <t>Active</t>
        </is>
      </c>
      <c r="J314" s="3" t="inlineStr">
        <is>
          <t>Heavy Metal Salt</t>
        </is>
      </c>
    </row>
    <row r="315" ht="15.75" customHeight="1" s="19">
      <c r="A315" s="3" t="n">
        <v>189</v>
      </c>
      <c r="B315" s="3" t="inlineStr">
        <is>
          <t>Cadmium Fluoride</t>
        </is>
      </c>
      <c r="C315" s="3" t="inlineStr">
        <is>
          <t>7790-79-6</t>
        </is>
      </c>
      <c r="D315" s="8" t="inlineStr">
        <is>
          <t>282619</t>
        </is>
      </c>
      <c r="E315" s="3" t="inlineStr">
        <is>
          <t>Cadmium Compound</t>
        </is>
      </c>
      <c r="F315" s="3" t="inlineStr">
        <is>
          <t>High</t>
        </is>
      </c>
      <c r="G315" s="3" t="inlineStr">
        <is>
          <t>Batteries (NiCd), pigments</t>
        </is>
      </c>
      <c r="H315" s="3" t="inlineStr">
        <is>
          <t>Electroplating, alloys</t>
        </is>
      </c>
      <c r="I315" s="3" t="inlineStr">
        <is>
          <t>Active</t>
        </is>
      </c>
      <c r="J315" s="3" t="inlineStr">
        <is>
          <t>Heavy Metal Salt</t>
        </is>
      </c>
    </row>
    <row r="316" ht="15.75" customHeight="1" s="19">
      <c r="A316" s="3" t="n">
        <v>190</v>
      </c>
      <c r="B316" s="3" t="inlineStr">
        <is>
          <t>Manganese (II,III) Oxide , 97 %</t>
        </is>
      </c>
      <c r="C316" s="3" t="inlineStr">
        <is>
          <t>1317-35-7</t>
        </is>
      </c>
      <c r="D316" s="8" t="inlineStr">
        <is>
          <t>282010</t>
        </is>
      </c>
      <c r="E316" s="3" t="inlineStr">
        <is>
          <t>Manganese Compound</t>
        </is>
      </c>
      <c r="F316" s="3" t="inlineStr">
        <is>
          <t>High</t>
        </is>
      </c>
      <c r="G316" s="3" t="inlineStr">
        <is>
          <t>Batteries, steel production</t>
        </is>
      </c>
      <c r="H316" s="3" t="inlineStr">
        <is>
          <t>Pigments, fertilizers</t>
        </is>
      </c>
      <c r="I316" s="3" t="inlineStr">
        <is>
          <t>Bulk</t>
        </is>
      </c>
      <c r="J316" s="3" t="inlineStr">
        <is>
          <t>Transition Metal Salt</t>
        </is>
      </c>
    </row>
    <row r="317" ht="15.75" customHeight="1" s="19">
      <c r="A317" s="3" t="n">
        <v>191</v>
      </c>
      <c r="B317" s="3" t="inlineStr">
        <is>
          <t>Mercury(II) Acetate</t>
        </is>
      </c>
      <c r="C317" s="3" t="inlineStr">
        <is>
          <t>1600-27-7</t>
        </is>
      </c>
      <c r="D317" s="8" t="inlineStr">
        <is>
          <t>285200</t>
        </is>
      </c>
      <c r="E317" s="3" t="inlineStr">
        <is>
          <t>Mercury Compound</t>
        </is>
      </c>
      <c r="F317" s="3" t="inlineStr">
        <is>
          <t>High</t>
        </is>
      </c>
      <c r="G317" s="3" t="inlineStr">
        <is>
          <t>Analytical chemistry, catalysis</t>
        </is>
      </c>
      <c r="H317" s="3" t="inlineStr">
        <is>
          <t>Thermometers (legacy)</t>
        </is>
      </c>
      <c r="I317" s="3" t="inlineStr">
        <is>
          <t>Active</t>
        </is>
      </c>
      <c r="J317" s="3" t="inlineStr">
        <is>
          <t>Heavy Metal Salt</t>
        </is>
      </c>
    </row>
    <row r="318" ht="15.75" customHeight="1" s="19">
      <c r="A318" s="3" t="n">
        <v>192</v>
      </c>
      <c r="B318" s="3" t="inlineStr">
        <is>
          <t>Copper (II) Oxalate</t>
        </is>
      </c>
      <c r="C318" s="3" t="inlineStr">
        <is>
          <t>5893-66-3</t>
        </is>
      </c>
      <c r="D318" s="8" t="inlineStr">
        <is>
          <t>291711</t>
        </is>
      </c>
      <c r="E318" s="3" t="inlineStr">
        <is>
          <t>Copper Compound</t>
        </is>
      </c>
      <c r="F318" s="3" t="inlineStr">
        <is>
          <t>High</t>
        </is>
      </c>
      <c r="G318" s="3" t="inlineStr">
        <is>
          <t>Electroplating, agrochemicals</t>
        </is>
      </c>
      <c r="H318" s="3" t="inlineStr">
        <is>
          <t>Catalysis, wood preservation</t>
        </is>
      </c>
      <c r="I318" s="3" t="inlineStr">
        <is>
          <t>Bulk</t>
        </is>
      </c>
      <c r="J318" s="3" t="inlineStr">
        <is>
          <t>Transition Metal Salt</t>
        </is>
      </c>
    </row>
    <row r="319" ht="15.75" customHeight="1" s="19">
      <c r="A319" s="3" t="n">
        <v>193</v>
      </c>
      <c r="B319" s="3" t="inlineStr">
        <is>
          <t>Mercury(II) Chloride</t>
        </is>
      </c>
      <c r="C319" s="3" t="inlineStr">
        <is>
          <t>7487-94-7</t>
        </is>
      </c>
      <c r="D319" s="8" t="inlineStr">
        <is>
          <t>285200</t>
        </is>
      </c>
      <c r="E319" s="3" t="inlineStr">
        <is>
          <t>Mercury Compound</t>
        </is>
      </c>
      <c r="F319" s="3" t="inlineStr">
        <is>
          <t>High</t>
        </is>
      </c>
      <c r="G319" s="3" t="inlineStr">
        <is>
          <t>Analytical chemistry, catalysis</t>
        </is>
      </c>
      <c r="H319" s="3" t="inlineStr">
        <is>
          <t>Thermometers (legacy)</t>
        </is>
      </c>
      <c r="I319" s="3" t="inlineStr">
        <is>
          <t>Active</t>
        </is>
      </c>
      <c r="J319" s="3" t="inlineStr">
        <is>
          <t>Heavy Metal Salt</t>
        </is>
      </c>
    </row>
    <row r="320" ht="15.75" customHeight="1" s="19">
      <c r="A320" s="3" t="n">
        <v>194</v>
      </c>
      <c r="B320" s="3" t="inlineStr">
        <is>
          <t>Mercury(II) Iodide</t>
        </is>
      </c>
      <c r="C320" s="3" t="inlineStr">
        <is>
          <t>7774-29-0</t>
        </is>
      </c>
      <c r="D320" s="8" t="inlineStr">
        <is>
          <t>285200</t>
        </is>
      </c>
      <c r="E320" s="3" t="inlineStr">
        <is>
          <t>Mercury Compound</t>
        </is>
      </c>
      <c r="F320" s="3" t="inlineStr">
        <is>
          <t>High</t>
        </is>
      </c>
      <c r="G320" s="3" t="inlineStr">
        <is>
          <t>Analytical chemistry, catalysis</t>
        </is>
      </c>
      <c r="H320" s="3" t="inlineStr">
        <is>
          <t>Thermometers (legacy)</t>
        </is>
      </c>
      <c r="I320" s="3" t="inlineStr">
        <is>
          <t>Active</t>
        </is>
      </c>
      <c r="J320" s="3" t="inlineStr">
        <is>
          <t>Heavy Metal Salt</t>
        </is>
      </c>
    </row>
    <row r="321" ht="15.75" customHeight="1" s="19">
      <c r="A321" s="3" t="n">
        <v>195</v>
      </c>
      <c r="B321" s="3" t="inlineStr">
        <is>
          <t>Mercury(II) Nitrate</t>
        </is>
      </c>
      <c r="C321" s="3" t="inlineStr">
        <is>
          <t>7783-34-8</t>
        </is>
      </c>
      <c r="D321" s="8" t="inlineStr">
        <is>
          <t>285200</t>
        </is>
      </c>
      <c r="E321" s="3" t="inlineStr">
        <is>
          <t>Mercury Compound</t>
        </is>
      </c>
      <c r="F321" s="3" t="inlineStr">
        <is>
          <t>High</t>
        </is>
      </c>
      <c r="G321" s="3" t="inlineStr">
        <is>
          <t>Analytical chemistry, catalysis</t>
        </is>
      </c>
      <c r="H321" s="3" t="inlineStr">
        <is>
          <t>Thermometers (legacy)</t>
        </is>
      </c>
      <c r="I321" s="3" t="inlineStr">
        <is>
          <t>Active</t>
        </is>
      </c>
      <c r="J321" s="3" t="inlineStr">
        <is>
          <t>Heavy Metal Salt</t>
        </is>
      </c>
    </row>
    <row r="322" ht="15.75" customHeight="1" s="19">
      <c r="A322" s="3" t="n">
        <v>196</v>
      </c>
      <c r="B322" s="3" t="inlineStr">
        <is>
          <t>Mercury(II) Oxide Red</t>
        </is>
      </c>
      <c r="C322" s="3" t="inlineStr">
        <is>
          <t>21908-53-2</t>
        </is>
      </c>
      <c r="D322" s="8" t="inlineStr">
        <is>
          <t>285200</t>
        </is>
      </c>
      <c r="E322" s="3" t="inlineStr">
        <is>
          <t>Mercury Compound</t>
        </is>
      </c>
      <c r="F322" s="3" t="inlineStr">
        <is>
          <t>High</t>
        </is>
      </c>
      <c r="G322" s="3" t="inlineStr">
        <is>
          <t>Analytical chemistry, catalysis</t>
        </is>
      </c>
      <c r="H322" s="3" t="inlineStr">
        <is>
          <t>Thermometers (legacy)</t>
        </is>
      </c>
      <c r="I322" s="3" t="inlineStr">
        <is>
          <t>Active</t>
        </is>
      </c>
      <c r="J322" s="3" t="inlineStr">
        <is>
          <t>Heavy Metal Salt</t>
        </is>
      </c>
    </row>
    <row r="323" ht="15.75" customHeight="1" s="19">
      <c r="A323" s="3" t="n">
        <v>197</v>
      </c>
      <c r="B323" s="3" t="inlineStr">
        <is>
          <t>Mercury(II) Sulfate</t>
        </is>
      </c>
      <c r="C323" s="3" t="inlineStr">
        <is>
          <t>7783-35-9</t>
        </is>
      </c>
      <c r="D323" s="8" t="inlineStr">
        <is>
          <t>285200</t>
        </is>
      </c>
      <c r="E323" s="3" t="inlineStr">
        <is>
          <t>Mercury Compound</t>
        </is>
      </c>
      <c r="F323" s="3" t="inlineStr">
        <is>
          <t>High</t>
        </is>
      </c>
      <c r="G323" s="3" t="inlineStr">
        <is>
          <t>Analytical chemistry, catalysis</t>
        </is>
      </c>
      <c r="H323" s="3" t="inlineStr">
        <is>
          <t>Thermometers (legacy)</t>
        </is>
      </c>
      <c r="I323" s="3" t="inlineStr">
        <is>
          <t>Active</t>
        </is>
      </c>
      <c r="J323" s="3" t="inlineStr">
        <is>
          <t>Heavy Metal Salt</t>
        </is>
      </c>
    </row>
    <row r="324" ht="15.75" customHeight="1" s="19">
      <c r="A324" s="3" t="n">
        <v>198</v>
      </c>
      <c r="B324" s="3" t="inlineStr">
        <is>
          <t>Nickel (II) Acetate Anhydrous</t>
        </is>
      </c>
      <c r="C324" s="3" t="inlineStr">
        <is>
          <t>373-02-4</t>
        </is>
      </c>
      <c r="D324" s="8" t="inlineStr">
        <is>
          <t>291529</t>
        </is>
      </c>
      <c r="E324" s="3" t="inlineStr">
        <is>
          <t>Nickel Compound</t>
        </is>
      </c>
      <c r="F324" s="3" t="inlineStr">
        <is>
          <t>High</t>
        </is>
      </c>
      <c r="G324" s="3" t="inlineStr">
        <is>
          <t>Electroplating, batteries</t>
        </is>
      </c>
      <c r="H324" s="3" t="inlineStr">
        <is>
          <t>Catalysis, ceramics</t>
        </is>
      </c>
      <c r="I324" s="3" t="inlineStr">
        <is>
          <t>Bulk</t>
        </is>
      </c>
      <c r="J324" s="3" t="inlineStr">
        <is>
          <t>Transition Metal Salt</t>
        </is>
      </c>
    </row>
    <row r="325" ht="15.75" customHeight="1" s="19">
      <c r="A325" s="3" t="n">
        <v>199</v>
      </c>
      <c r="B325" s="3" t="inlineStr">
        <is>
          <t>Nickel (II) Bromide Anhydrous</t>
        </is>
      </c>
      <c r="C325" s="3" t="inlineStr">
        <is>
          <t>13462-88-9</t>
        </is>
      </c>
      <c r="D325" s="8" t="inlineStr">
        <is>
          <t>282759</t>
        </is>
      </c>
      <c r="E325" s="3" t="inlineStr">
        <is>
          <t>Nickel Compound</t>
        </is>
      </c>
      <c r="F325" s="3" t="inlineStr">
        <is>
          <t>High</t>
        </is>
      </c>
      <c r="G325" s="3" t="inlineStr">
        <is>
          <t>Electroplating, batteries</t>
        </is>
      </c>
      <c r="H325" s="3" t="inlineStr">
        <is>
          <t>Catalysis, ceramics</t>
        </is>
      </c>
      <c r="I325" s="3" t="inlineStr">
        <is>
          <t>Bulk</t>
        </is>
      </c>
      <c r="J325" s="3" t="inlineStr">
        <is>
          <t>Transition Metal Salt</t>
        </is>
      </c>
    </row>
    <row r="326" ht="15.75" customHeight="1" s="19">
      <c r="A326" s="3" t="n">
        <v>200</v>
      </c>
      <c r="B326" s="3" t="inlineStr">
        <is>
          <t>Nickel (II) Chloride Anhydrous</t>
        </is>
      </c>
      <c r="C326" s="3" t="inlineStr">
        <is>
          <t>7718-54-9</t>
        </is>
      </c>
      <c r="D326" s="8" t="inlineStr">
        <is>
          <t>282735</t>
        </is>
      </c>
      <c r="E326" s="3" t="inlineStr">
        <is>
          <t>Nickel Compound</t>
        </is>
      </c>
      <c r="F326" s="3" t="inlineStr">
        <is>
          <t>High</t>
        </is>
      </c>
      <c r="G326" s="3" t="inlineStr">
        <is>
          <t>Electroplating, batteries</t>
        </is>
      </c>
      <c r="H326" s="3" t="inlineStr">
        <is>
          <t>Catalysis, ceramics</t>
        </is>
      </c>
      <c r="I326" s="3" t="inlineStr">
        <is>
          <t>Bulk</t>
        </is>
      </c>
      <c r="J326" s="3" t="inlineStr">
        <is>
          <t>Transition Metal Salt</t>
        </is>
      </c>
    </row>
    <row r="327" ht="15.75" customHeight="1" s="19">
      <c r="A327" s="3" t="n">
        <v>201</v>
      </c>
      <c r="B327" s="3" t="inlineStr">
        <is>
          <t>Nickel Chloride Hydrate 99.95%</t>
        </is>
      </c>
      <c r="C327" s="3" t="inlineStr">
        <is>
          <t>69098-15-3</t>
        </is>
      </c>
      <c r="D327" s="8" t="inlineStr">
        <is>
          <t>282735</t>
        </is>
      </c>
      <c r="E327" s="3" t="inlineStr">
        <is>
          <t>Nickel Compound</t>
        </is>
      </c>
      <c r="F327" s="3" t="inlineStr">
        <is>
          <t>High</t>
        </is>
      </c>
      <c r="G327" s="3" t="inlineStr">
        <is>
          <t>Electroplating, batteries</t>
        </is>
      </c>
      <c r="H327" s="3" t="inlineStr">
        <is>
          <t>Catalysis, ceramics</t>
        </is>
      </c>
      <c r="I327" s="3" t="inlineStr">
        <is>
          <t>Bulk</t>
        </is>
      </c>
      <c r="J327" s="3" t="inlineStr">
        <is>
          <t>Transition Metal Salt</t>
        </is>
      </c>
    </row>
    <row r="328" ht="15.75" customHeight="1" s="19">
      <c r="A328" s="3" t="n">
        <v>202</v>
      </c>
      <c r="B328" s="3" t="inlineStr">
        <is>
          <t>Nickel (II) Oxalate Dihydrate</t>
        </is>
      </c>
      <c r="C328" s="3" t="inlineStr">
        <is>
          <t>6018-94-6</t>
        </is>
      </c>
      <c r="D328" s="8" t="inlineStr">
        <is>
          <t>291711</t>
        </is>
      </c>
      <c r="E328" s="3" t="inlineStr">
        <is>
          <t>Nickel Compound</t>
        </is>
      </c>
      <c r="F328" s="3" t="inlineStr">
        <is>
          <t>High</t>
        </is>
      </c>
      <c r="G328" s="3" t="inlineStr">
        <is>
          <t>Electroplating, batteries</t>
        </is>
      </c>
      <c r="H328" s="3" t="inlineStr">
        <is>
          <t>Catalysis, ceramics</t>
        </is>
      </c>
      <c r="I328" s="3" t="inlineStr">
        <is>
          <t>Bulk</t>
        </is>
      </c>
      <c r="J328" s="3" t="inlineStr">
        <is>
          <t>Transition Metal Salt</t>
        </is>
      </c>
    </row>
    <row r="329" ht="15.75" customHeight="1" s="19">
      <c r="A329" s="3" t="n">
        <v>203</v>
      </c>
      <c r="B329" s="3" t="inlineStr">
        <is>
          <t>Nickel (II) Perchlorate Hexahydrate</t>
        </is>
      </c>
      <c r="C329" s="3" t="inlineStr">
        <is>
          <t>13520-61-1</t>
        </is>
      </c>
      <c r="D329" s="8" t="inlineStr">
        <is>
          <t>282990</t>
        </is>
      </c>
      <c r="E329" s="3" t="inlineStr">
        <is>
          <t>Nickel Compound</t>
        </is>
      </c>
      <c r="F329" s="3" t="inlineStr">
        <is>
          <t>High</t>
        </is>
      </c>
      <c r="G329" s="3" t="inlineStr">
        <is>
          <t>Electroplating, batteries</t>
        </is>
      </c>
      <c r="H329" s="3" t="inlineStr">
        <is>
          <t>Catalysis, ceramics</t>
        </is>
      </c>
      <c r="I329" s="3" t="inlineStr">
        <is>
          <t>Bulk</t>
        </is>
      </c>
      <c r="J329" s="3" t="inlineStr">
        <is>
          <t>Transition Metal Salt</t>
        </is>
      </c>
    </row>
    <row r="330" ht="15.75" customHeight="1" s="19">
      <c r="A330" s="3" t="n">
        <v>204</v>
      </c>
      <c r="B330" s="3" t="inlineStr">
        <is>
          <t>Nickel (II) Sulfamate Tetrhydrate</t>
        </is>
      </c>
      <c r="C330" s="3" t="inlineStr">
        <is>
          <t>124594-15-6</t>
        </is>
      </c>
      <c r="D330" s="8" t="inlineStr">
        <is>
          <t>283324</t>
        </is>
      </c>
      <c r="E330" s="3" t="inlineStr">
        <is>
          <t>Nickel Compound</t>
        </is>
      </c>
      <c r="F330" s="3" t="inlineStr">
        <is>
          <t>High</t>
        </is>
      </c>
      <c r="G330" s="3" t="inlineStr">
        <is>
          <t>Electroplating, batteries</t>
        </is>
      </c>
      <c r="H330" s="3" t="inlineStr">
        <is>
          <t>Catalysis, ceramics</t>
        </is>
      </c>
      <c r="I330" s="3" t="inlineStr">
        <is>
          <t>Bulk</t>
        </is>
      </c>
      <c r="J330" s="3" t="inlineStr">
        <is>
          <t>Transition Metal Salt</t>
        </is>
      </c>
    </row>
    <row r="331" ht="15.75" customHeight="1" s="19">
      <c r="A331" s="3" t="n">
        <v>205</v>
      </c>
      <c r="B331" s="3" t="inlineStr">
        <is>
          <t>Nickel oxide</t>
        </is>
      </c>
      <c r="C331" s="3" t="inlineStr">
        <is>
          <t>1313-99-1</t>
        </is>
      </c>
      <c r="D331" s="8" t="inlineStr">
        <is>
          <t>282540</t>
        </is>
      </c>
      <c r="E331" s="3" t="inlineStr">
        <is>
          <t>Nickel Compound</t>
        </is>
      </c>
      <c r="F331" s="3" t="inlineStr">
        <is>
          <t>High</t>
        </is>
      </c>
      <c r="G331" s="3" t="inlineStr">
        <is>
          <t>Electroplating, batteries</t>
        </is>
      </c>
      <c r="H331" s="3" t="inlineStr">
        <is>
          <t>Catalysis, ceramics</t>
        </is>
      </c>
      <c r="I331" s="3" t="inlineStr">
        <is>
          <t>Bulk</t>
        </is>
      </c>
      <c r="J331" s="3" t="inlineStr">
        <is>
          <t>Transition Metal Salt</t>
        </is>
      </c>
    </row>
    <row r="332" ht="15.75" customHeight="1" s="19">
      <c r="A332" s="3" t="n">
        <v>206</v>
      </c>
      <c r="B332" s="3" t="inlineStr">
        <is>
          <t>Nickel (II) Sulfate Heptahydrate</t>
        </is>
      </c>
      <c r="C332" s="3" t="inlineStr">
        <is>
          <t>10101-98-1</t>
        </is>
      </c>
      <c r="D332" s="8" t="inlineStr">
        <is>
          <t>283324</t>
        </is>
      </c>
      <c r="E332" s="3" t="inlineStr">
        <is>
          <t>Nickel Compound</t>
        </is>
      </c>
      <c r="F332" s="3" t="inlineStr">
        <is>
          <t>High</t>
        </is>
      </c>
      <c r="G332" s="3" t="inlineStr">
        <is>
          <t>Electroplating, batteries</t>
        </is>
      </c>
      <c r="H332" s="3" t="inlineStr">
        <is>
          <t>Catalysis, ceramics</t>
        </is>
      </c>
      <c r="I332" s="3" t="inlineStr">
        <is>
          <t>Bulk</t>
        </is>
      </c>
      <c r="J332" s="3" t="inlineStr">
        <is>
          <t>Transition Metal Salt</t>
        </is>
      </c>
    </row>
    <row r="333" ht="15.75" customHeight="1" s="19">
      <c r="A333" s="3" t="n">
        <v>207</v>
      </c>
      <c r="B333" s="3" t="inlineStr">
        <is>
          <t>Nickel (II) Sulfate</t>
        </is>
      </c>
      <c r="C333" s="3" t="inlineStr">
        <is>
          <t>15244-37-8</t>
        </is>
      </c>
      <c r="D333" s="8" t="inlineStr">
        <is>
          <t>283324</t>
        </is>
      </c>
      <c r="E333" s="3" t="inlineStr">
        <is>
          <t>Nickel Compound</t>
        </is>
      </c>
      <c r="F333" s="3" t="inlineStr">
        <is>
          <t>High</t>
        </is>
      </c>
      <c r="G333" s="3" t="inlineStr">
        <is>
          <t>Electroplating, batteries</t>
        </is>
      </c>
      <c r="H333" s="3" t="inlineStr">
        <is>
          <t>Catalysis, ceramics</t>
        </is>
      </c>
      <c r="I333" s="3" t="inlineStr">
        <is>
          <t>Bulk</t>
        </is>
      </c>
      <c r="J333" s="3" t="inlineStr">
        <is>
          <t>Transition Metal Salt</t>
        </is>
      </c>
    </row>
    <row r="334" ht="15.75" customHeight="1" s="19">
      <c r="A334" s="3" t="n">
        <v>208</v>
      </c>
      <c r="B334" s="3" t="inlineStr">
        <is>
          <t>Potassium Pentaborate</t>
        </is>
      </c>
      <c r="C334" s="3" t="inlineStr">
        <is>
          <t>12229-13-9</t>
        </is>
      </c>
      <c r="D334" s="8" t="inlineStr">
        <is>
          <t>284019</t>
        </is>
      </c>
      <c r="E334" s="3" t="inlineStr">
        <is>
          <t>Potassium Salt</t>
        </is>
      </c>
      <c r="F334" s="3" t="inlineStr">
        <is>
          <t>High</t>
        </is>
      </c>
      <c r="G334" s="3" t="inlineStr">
        <is>
          <t>Analytical chemistry, synthesis</t>
        </is>
      </c>
      <c r="H334" s="3" t="inlineStr">
        <is>
          <t>Fertilizers, food industry</t>
        </is>
      </c>
      <c r="I334" s="3" t="inlineStr">
        <is>
          <t>Bulk</t>
        </is>
      </c>
      <c r="J334" s="3" t="inlineStr">
        <is>
          <t>Alkali Metal Salt</t>
        </is>
      </c>
    </row>
    <row r="335" ht="15.75" customHeight="1" s="19">
      <c r="A335" s="3" t="n">
        <v>209</v>
      </c>
      <c r="B335" s="3" t="inlineStr">
        <is>
          <t>Manganese Chloride</t>
        </is>
      </c>
      <c r="C335" s="3" t="n"/>
      <c r="D335" s="8" t="inlineStr">
        <is>
          <t>282739</t>
        </is>
      </c>
      <c r="E335" s="3" t="inlineStr">
        <is>
          <t>Manganese Compound</t>
        </is>
      </c>
      <c r="F335" s="3" t="inlineStr">
        <is>
          <t>High</t>
        </is>
      </c>
      <c r="G335" s="3" t="inlineStr">
        <is>
          <t>Batteries, steel production</t>
        </is>
      </c>
      <c r="H335" s="3" t="inlineStr">
        <is>
          <t>Pigments, fertilizers</t>
        </is>
      </c>
      <c r="I335" s="3" t="inlineStr">
        <is>
          <t>Bulk</t>
        </is>
      </c>
      <c r="J335" s="3" t="inlineStr">
        <is>
          <t>Transition Metal Salt</t>
        </is>
      </c>
    </row>
    <row r="336" ht="15.75" customHeight="1" s="19">
      <c r="A336" s="3" t="n">
        <v>210</v>
      </c>
      <c r="B336" s="3" t="inlineStr">
        <is>
          <t>Sodium Bismuthate</t>
        </is>
      </c>
      <c r="C336" s="3" t="inlineStr">
        <is>
          <t>12232-99-4</t>
        </is>
      </c>
      <c r="D336" s="8" t="inlineStr">
        <is>
          <t>284190</t>
        </is>
      </c>
      <c r="E336" s="3" t="inlineStr">
        <is>
          <t>Bismuth Compound</t>
        </is>
      </c>
      <c r="F336" s="3" t="inlineStr">
        <is>
          <t>High</t>
        </is>
      </c>
      <c r="G336" s="3" t="inlineStr">
        <is>
          <t>Pharmaceuticals, cosmetics (pearlescent)</t>
        </is>
      </c>
      <c r="H336" s="3" t="inlineStr">
        <is>
          <t>Lead-free solder, alloys</t>
        </is>
      </c>
      <c r="I336" s="3" t="inlineStr">
        <is>
          <t>Active</t>
        </is>
      </c>
      <c r="J336" s="3" t="inlineStr">
        <is>
          <t>Post-transition Metal Salt</t>
        </is>
      </c>
    </row>
    <row r="337" ht="15.75" customHeight="1" s="19">
      <c r="A337" s="3" t="n">
        <v>211</v>
      </c>
      <c r="B337" s="3" t="inlineStr">
        <is>
          <t>YTTRIUM (III) NITRATE HEXAHYDRATE</t>
        </is>
      </c>
      <c r="C337" s="3" t="inlineStr">
        <is>
          <t>13494-98-9</t>
        </is>
      </c>
      <c r="D337" s="8" t="inlineStr">
        <is>
          <t>284610</t>
        </is>
      </c>
      <c r="E337" s="3" t="inlineStr">
        <is>
          <t>Rare Earth Compound</t>
        </is>
      </c>
      <c r="F337" s="3" t="inlineStr">
        <is>
          <t>High</t>
        </is>
      </c>
      <c r="G337" s="3" t="inlineStr">
        <is>
          <t>Electronics, catalysts, glass polishing</t>
        </is>
      </c>
      <c r="H337" s="3" t="inlineStr">
        <is>
          <t>Ceramics, phosphors</t>
        </is>
      </c>
      <c r="I337" s="3" t="inlineStr">
        <is>
          <t>Active</t>
        </is>
      </c>
      <c r="J337" s="3" t="inlineStr">
        <is>
          <t>Rare Earth Salt / Oxide</t>
        </is>
      </c>
    </row>
    <row r="338" ht="15.75" customHeight="1" s="19">
      <c r="A338" s="3" t="n">
        <v>212</v>
      </c>
      <c r="B338" s="3" t="inlineStr">
        <is>
          <t>Neodymium Oxide</t>
        </is>
      </c>
      <c r="C338" s="3" t="inlineStr">
        <is>
          <t>1313-97-9</t>
        </is>
      </c>
      <c r="D338" s="8" t="inlineStr">
        <is>
          <t>284610</t>
        </is>
      </c>
      <c r="E338" s="3" t="inlineStr">
        <is>
          <t>Rare Earth Compound</t>
        </is>
      </c>
      <c r="F338" s="3" t="inlineStr">
        <is>
          <t>High</t>
        </is>
      </c>
      <c r="G338" s="3" t="inlineStr">
        <is>
          <t>Electronics, catalysts, glass polishing</t>
        </is>
      </c>
      <c r="H338" s="3" t="inlineStr">
        <is>
          <t>Ceramics, phosphors</t>
        </is>
      </c>
      <c r="I338" s="3" t="inlineStr">
        <is>
          <t>Active</t>
        </is>
      </c>
      <c r="J338" s="3" t="inlineStr">
        <is>
          <t>Rare Earth Salt / Oxide</t>
        </is>
      </c>
    </row>
    <row r="339" ht="15.75" customHeight="1" s="19">
      <c r="A339" s="3" t="n">
        <v>213</v>
      </c>
      <c r="B339" s="3" t="inlineStr">
        <is>
          <t>Strontium Sulphate</t>
        </is>
      </c>
      <c r="C339" s="3" t="n"/>
      <c r="D339" s="8" t="inlineStr">
        <is>
          <t>283329</t>
        </is>
      </c>
      <c r="E339" s="3" t="inlineStr">
        <is>
          <t>Strontium Compound</t>
        </is>
      </c>
      <c r="F339" s="3" t="inlineStr">
        <is>
          <t>High</t>
        </is>
      </c>
      <c r="G339" s="3" t="inlineStr">
        <is>
          <t>Fireworks, ceramics</t>
        </is>
      </c>
      <c r="H339" s="3" t="inlineStr">
        <is>
          <t>Ferrite magnets, glass</t>
        </is>
      </c>
      <c r="I339" s="3" t="inlineStr">
        <is>
          <t>Active</t>
        </is>
      </c>
      <c r="J339" s="3" t="inlineStr">
        <is>
          <t>Alkaline Earth Metal Salt</t>
        </is>
      </c>
    </row>
    <row r="340" ht="15.75" customHeight="1" s="19">
      <c r="A340" s="3" t="n">
        <v>214</v>
      </c>
      <c r="B340" s="3" t="inlineStr">
        <is>
          <t>Tin (II) Sulphate</t>
        </is>
      </c>
      <c r="C340" s="3" t="inlineStr">
        <is>
          <t>7488-55-3</t>
        </is>
      </c>
      <c r="D340" s="8" t="inlineStr">
        <is>
          <t>283329</t>
        </is>
      </c>
      <c r="E340" s="3" t="inlineStr">
        <is>
          <t>Tin Compound</t>
        </is>
      </c>
      <c r="F340" s="3" t="inlineStr">
        <is>
          <t>High</t>
        </is>
      </c>
      <c r="G340" s="3" t="inlineStr">
        <is>
          <t>Soldering, tin plating</t>
        </is>
      </c>
      <c r="H340" s="3" t="inlineStr">
        <is>
          <t>Organotin catalysts, PVC stabilizers</t>
        </is>
      </c>
      <c r="I340" s="3" t="inlineStr">
        <is>
          <t>Bulk</t>
        </is>
      </c>
      <c r="J340" s="3" t="inlineStr">
        <is>
          <t>Post-transition Metal</t>
        </is>
      </c>
    </row>
    <row r="341" ht="15.75" customHeight="1" s="19">
      <c r="A341" s="3" t="n">
        <v>215</v>
      </c>
      <c r="B341" s="3" t="inlineStr">
        <is>
          <t>Zinc Hydroxide</t>
        </is>
      </c>
      <c r="C341" s="3" t="inlineStr">
        <is>
          <t>20427-58-1</t>
        </is>
      </c>
      <c r="D341" s="8" t="inlineStr">
        <is>
          <t>282590</t>
        </is>
      </c>
      <c r="E341" s="3" t="inlineStr">
        <is>
          <t>Zinc Compound</t>
        </is>
      </c>
      <c r="F341" s="3" t="inlineStr">
        <is>
          <t>High</t>
        </is>
      </c>
      <c r="G341" s="3" t="inlineStr">
        <is>
          <t>Galvanizing, rubber vulcanization</t>
        </is>
      </c>
      <c r="H341" s="3" t="inlineStr">
        <is>
          <t>Fertilizers, pharmaceuticals</t>
        </is>
      </c>
      <c r="I341" s="3" t="inlineStr">
        <is>
          <t>Bulk</t>
        </is>
      </c>
      <c r="J341" s="3" t="inlineStr">
        <is>
          <t>Transition Metal Salt</t>
        </is>
      </c>
    </row>
    <row r="342" ht="15.75" customHeight="1" s="19">
      <c r="A342" s="3" t="n">
        <v>216</v>
      </c>
      <c r="B342" s="3" t="inlineStr">
        <is>
          <t>Zinc Nitrate Hexahydrate</t>
        </is>
      </c>
      <c r="C342" s="3" t="inlineStr">
        <is>
          <t>10196-18-6</t>
        </is>
      </c>
      <c r="D342" s="8" t="inlineStr">
        <is>
          <t>283429</t>
        </is>
      </c>
      <c r="E342" s="3" t="inlineStr">
        <is>
          <t>Zinc Compound</t>
        </is>
      </c>
      <c r="F342" s="3" t="inlineStr">
        <is>
          <t>High</t>
        </is>
      </c>
      <c r="G342" s="3" t="inlineStr">
        <is>
          <t>Galvanizing, rubber vulcanization</t>
        </is>
      </c>
      <c r="H342" s="3" t="inlineStr">
        <is>
          <t>Fertilizers, pharmaceuticals</t>
        </is>
      </c>
      <c r="I342" s="3" t="inlineStr">
        <is>
          <t>Bulk</t>
        </is>
      </c>
      <c r="J342" s="3" t="inlineStr">
        <is>
          <t>Transition Metal Salt</t>
        </is>
      </c>
    </row>
    <row r="343" ht="15.75" customHeight="1" s="19">
      <c r="A343" s="3" t="n">
        <v>217</v>
      </c>
      <c r="B343" s="3" t="inlineStr">
        <is>
          <t>Zinc Oxalate Dihydrate</t>
        </is>
      </c>
      <c r="C343" s="3" t="inlineStr">
        <is>
          <t>547-62-2</t>
        </is>
      </c>
      <c r="D343" s="8" t="inlineStr">
        <is>
          <t>291711</t>
        </is>
      </c>
      <c r="E343" s="3" t="inlineStr">
        <is>
          <t>Zinc Compound</t>
        </is>
      </c>
      <c r="F343" s="3" t="inlineStr">
        <is>
          <t>High</t>
        </is>
      </c>
      <c r="G343" s="3" t="inlineStr">
        <is>
          <t>Galvanizing, rubber vulcanization</t>
        </is>
      </c>
      <c r="H343" s="3" t="inlineStr">
        <is>
          <t>Fertilizers, pharmaceuticals</t>
        </is>
      </c>
      <c r="I343" s="3" t="inlineStr">
        <is>
          <t>Bulk</t>
        </is>
      </c>
      <c r="J343" s="3" t="inlineStr">
        <is>
          <t>Transition Metal Salt</t>
        </is>
      </c>
    </row>
    <row r="344" ht="15.75" customHeight="1" s="19">
      <c r="A344" s="3" t="n">
        <v>218</v>
      </c>
      <c r="B344" s="3" t="inlineStr">
        <is>
          <t>Nickel Sulphate</t>
        </is>
      </c>
      <c r="C344" s="3" t="inlineStr">
        <is>
          <t>7786-81-4</t>
        </is>
      </c>
      <c r="D344" s="8" t="inlineStr">
        <is>
          <t>283324</t>
        </is>
      </c>
      <c r="E344" s="3" t="inlineStr">
        <is>
          <t>Nickel Compound</t>
        </is>
      </c>
      <c r="F344" s="3" t="inlineStr">
        <is>
          <t>High</t>
        </is>
      </c>
      <c r="G344" s="3" t="inlineStr">
        <is>
          <t>Electroplating, batteries</t>
        </is>
      </c>
      <c r="H344" s="3" t="inlineStr">
        <is>
          <t>Catalysis, ceramics</t>
        </is>
      </c>
      <c r="I344" s="3" t="inlineStr">
        <is>
          <t>Bulk</t>
        </is>
      </c>
      <c r="J344" s="3" t="inlineStr">
        <is>
          <t>Transition Metal Salt</t>
        </is>
      </c>
    </row>
    <row r="345" ht="15.75" customHeight="1" s="19">
      <c r="A345" s="3" t="n">
        <v>219</v>
      </c>
      <c r="B345" s="3" t="inlineStr">
        <is>
          <t>Nickel Chloride</t>
        </is>
      </c>
      <c r="C345" s="3" t="inlineStr">
        <is>
          <t>7718-54-9</t>
        </is>
      </c>
      <c r="D345" s="8" t="inlineStr">
        <is>
          <t>282735</t>
        </is>
      </c>
      <c r="E345" s="3" t="inlineStr">
        <is>
          <t>Nickel Compound</t>
        </is>
      </c>
      <c r="F345" s="3" t="inlineStr">
        <is>
          <t>High</t>
        </is>
      </c>
      <c r="G345" s="3" t="inlineStr">
        <is>
          <t>Electroplating, batteries</t>
        </is>
      </c>
      <c r="H345" s="3" t="inlineStr">
        <is>
          <t>Catalysis, ceramics</t>
        </is>
      </c>
      <c r="I345" s="3" t="inlineStr">
        <is>
          <t>Bulk</t>
        </is>
      </c>
      <c r="J345" s="3" t="inlineStr">
        <is>
          <t>Transition Metal Salt</t>
        </is>
      </c>
    </row>
    <row r="346" ht="15.75" customHeight="1" s="19">
      <c r="A346" s="3" t="n">
        <v>220</v>
      </c>
      <c r="B346" s="3" t="inlineStr">
        <is>
          <t>Potassium Tetra Oxalate</t>
        </is>
      </c>
      <c r="C346" s="3" t="inlineStr">
        <is>
          <t>6100-20-5</t>
        </is>
      </c>
      <c r="D346" s="8" t="inlineStr">
        <is>
          <t>291711</t>
        </is>
      </c>
      <c r="E346" s="3" t="inlineStr">
        <is>
          <t>Potassium Salt</t>
        </is>
      </c>
      <c r="F346" s="3" t="inlineStr">
        <is>
          <t>High</t>
        </is>
      </c>
      <c r="G346" s="3" t="inlineStr">
        <is>
          <t>Analytical chemistry, synthesis</t>
        </is>
      </c>
      <c r="H346" s="3" t="inlineStr">
        <is>
          <t>Fertilizers, food industry</t>
        </is>
      </c>
      <c r="I346" s="3" t="inlineStr">
        <is>
          <t>Bulk</t>
        </is>
      </c>
      <c r="J346" s="3" t="inlineStr">
        <is>
          <t>Alkali Metal Salt</t>
        </is>
      </c>
    </row>
    <row r="347" ht="15.75" customHeight="1" s="19">
      <c r="A347" s="3" t="n">
        <v>221</v>
      </c>
      <c r="B347" s="3" t="inlineStr">
        <is>
          <t>Nickel dihydroxide</t>
        </is>
      </c>
      <c r="C347" s="3" t="inlineStr">
        <is>
          <t>12054-48-7</t>
        </is>
      </c>
      <c r="D347" s="8" t="inlineStr">
        <is>
          <t>282540</t>
        </is>
      </c>
      <c r="E347" s="3" t="inlineStr">
        <is>
          <t>Nickel Compound</t>
        </is>
      </c>
      <c r="F347" s="3" t="inlineStr">
        <is>
          <t>High</t>
        </is>
      </c>
      <c r="G347" s="3" t="inlineStr">
        <is>
          <t>Electroplating, batteries</t>
        </is>
      </c>
      <c r="H347" s="3" t="inlineStr">
        <is>
          <t>Catalysis, ceramics</t>
        </is>
      </c>
      <c r="I347" s="3" t="inlineStr">
        <is>
          <t>Bulk</t>
        </is>
      </c>
      <c r="J347" s="3" t="inlineStr">
        <is>
          <t>Transition Metal Salt</t>
        </is>
      </c>
    </row>
    <row r="348" ht="15.75" customHeight="1" s="19">
      <c r="A348" s="3" t="n">
        <v>222</v>
      </c>
      <c r="B348" s="3" t="inlineStr">
        <is>
          <t>Cupric chloride dihydrate</t>
        </is>
      </c>
      <c r="C348" s="3" t="inlineStr">
        <is>
          <t>10125-13-0</t>
        </is>
      </c>
      <c r="D348" s="8" t="inlineStr">
        <is>
          <t>282739</t>
        </is>
      </c>
      <c r="E348" s="3" t="inlineStr">
        <is>
          <t>Copper Compound</t>
        </is>
      </c>
      <c r="F348" s="3" t="inlineStr">
        <is>
          <t>High</t>
        </is>
      </c>
      <c r="G348" s="3" t="inlineStr">
        <is>
          <t>Electroplating, agrochemicals</t>
        </is>
      </c>
      <c r="H348" s="3" t="inlineStr">
        <is>
          <t>Catalysis, wood preservation</t>
        </is>
      </c>
      <c r="I348" s="3" t="inlineStr">
        <is>
          <t>Bulk</t>
        </is>
      </c>
      <c r="J348" s="3" t="inlineStr">
        <is>
          <t>Transition Metal Salt</t>
        </is>
      </c>
    </row>
    <row r="349" ht="15.75" customHeight="1" s="19">
      <c r="A349" s="3" t="n">
        <v>223</v>
      </c>
      <c r="B349" s="3" t="inlineStr">
        <is>
          <t>Manganese (II) Bromide</t>
        </is>
      </c>
      <c r="C349" s="3" t="inlineStr">
        <is>
          <t>13446-03-2</t>
        </is>
      </c>
      <c r="D349" s="8" t="inlineStr">
        <is>
          <t>282759</t>
        </is>
      </c>
      <c r="E349" s="3" t="inlineStr">
        <is>
          <t>Manganese Compound</t>
        </is>
      </c>
      <c r="F349" s="3" t="inlineStr">
        <is>
          <t>High</t>
        </is>
      </c>
      <c r="G349" s="3" t="inlineStr">
        <is>
          <t>Batteries, steel production</t>
        </is>
      </c>
      <c r="H349" s="3" t="inlineStr">
        <is>
          <t>Pigments, fertilizers</t>
        </is>
      </c>
      <c r="I349" s="3" t="inlineStr">
        <is>
          <t>Bulk</t>
        </is>
      </c>
      <c r="J349" s="3" t="inlineStr">
        <is>
          <t>Transition Metal Salt</t>
        </is>
      </c>
    </row>
    <row r="350" ht="15.75" customHeight="1" s="19">
      <c r="A350" s="3" t="n">
        <v>224</v>
      </c>
      <c r="B350" s="3" t="inlineStr">
        <is>
          <t>1-Methyl-2-Propenyl Magnesium Chloride 0.5M in THF</t>
        </is>
      </c>
      <c r="C350" s="3" t="inlineStr">
        <is>
          <t>21969-32-4</t>
        </is>
      </c>
      <c r="D350" s="8" t="inlineStr">
        <is>
          <t>293190</t>
        </is>
      </c>
      <c r="E350" s="3" t="inlineStr">
        <is>
          <t>Grignard Reagent</t>
        </is>
      </c>
      <c r="F350" s="3" t="inlineStr">
        <is>
          <t>High</t>
        </is>
      </c>
      <c r="G350" s="3" t="inlineStr">
        <is>
          <t>Pharmaceutical synthesis</t>
        </is>
      </c>
      <c r="H350" s="3" t="inlineStr">
        <is>
          <t>Fine chemical manufacturing</t>
        </is>
      </c>
      <c r="I350" s="3" t="inlineStr">
        <is>
          <t>Active</t>
        </is>
      </c>
      <c r="J350" s="3" t="inlineStr">
        <is>
          <t>Organometallic Reagent</t>
        </is>
      </c>
    </row>
    <row r="351" ht="15.75" customHeight="1" s="19">
      <c r="A351" s="3" t="n">
        <v>225</v>
      </c>
      <c r="B351" s="3" t="inlineStr">
        <is>
          <t>Lead (II) Fluoride</t>
        </is>
      </c>
      <c r="C351" s="3" t="inlineStr">
        <is>
          <t>7783-46-2</t>
        </is>
      </c>
      <c r="D351" s="8" t="inlineStr">
        <is>
          <t>282619</t>
        </is>
      </c>
      <c r="E351" s="3" t="inlineStr">
        <is>
          <t>Lead Compound</t>
        </is>
      </c>
      <c r="F351" s="3" t="inlineStr">
        <is>
          <t>High</t>
        </is>
      </c>
      <c r="G351" s="3" t="inlineStr">
        <is>
          <t>Batteries (lead-acid)</t>
        </is>
      </c>
      <c r="H351" s="3" t="inlineStr">
        <is>
          <t>Radiation shielding, glass</t>
        </is>
      </c>
      <c r="I351" s="3" t="inlineStr">
        <is>
          <t>Bulk</t>
        </is>
      </c>
      <c r="J351" s="3" t="inlineStr">
        <is>
          <t>Heavy Metal Salt</t>
        </is>
      </c>
    </row>
    <row r="352" ht="15.75" customHeight="1" s="19">
      <c r="A352" s="3" t="n">
        <v>226</v>
      </c>
      <c r="B352" s="3" t="inlineStr">
        <is>
          <t>Cadmium Chloride Hydrate</t>
        </is>
      </c>
      <c r="C352" s="3" t="inlineStr">
        <is>
          <t>34330-64-8</t>
        </is>
      </c>
      <c r="D352" s="8" t="inlineStr">
        <is>
          <t>282739</t>
        </is>
      </c>
      <c r="E352" s="3" t="inlineStr">
        <is>
          <t>Cadmium Compound</t>
        </is>
      </c>
      <c r="F352" s="3" t="inlineStr">
        <is>
          <t>High</t>
        </is>
      </c>
      <c r="G352" s="3" t="inlineStr">
        <is>
          <t>Batteries (NiCd), pigments</t>
        </is>
      </c>
      <c r="H352" s="3" t="inlineStr">
        <is>
          <t>Electroplating, alloys</t>
        </is>
      </c>
      <c r="I352" s="3" t="inlineStr">
        <is>
          <t>Active</t>
        </is>
      </c>
      <c r="J352" s="3" t="inlineStr">
        <is>
          <t>Heavy Metal Salt</t>
        </is>
      </c>
    </row>
    <row r="353" ht="15.75" customHeight="1" s="19">
      <c r="A353" s="3" t="n">
        <v>227</v>
      </c>
      <c r="B353" s="3" t="inlineStr">
        <is>
          <t>Cadmium Chloride Monohydrate</t>
        </is>
      </c>
      <c r="C353" s="3" t="inlineStr">
        <is>
          <t>35658-65-2</t>
        </is>
      </c>
      <c r="D353" s="8" t="inlineStr">
        <is>
          <t>282739</t>
        </is>
      </c>
      <c r="E353" s="3" t="inlineStr">
        <is>
          <t>Cadmium Compound</t>
        </is>
      </c>
      <c r="F353" s="3" t="inlineStr">
        <is>
          <t>High</t>
        </is>
      </c>
      <c r="G353" s="3" t="inlineStr">
        <is>
          <t>Batteries (NiCd), pigments</t>
        </is>
      </c>
      <c r="H353" s="3" t="inlineStr">
        <is>
          <t>Electroplating, alloys</t>
        </is>
      </c>
      <c r="I353" s="3" t="inlineStr">
        <is>
          <t>Active</t>
        </is>
      </c>
      <c r="J353" s="3" t="inlineStr">
        <is>
          <t>Heavy Metal Salt</t>
        </is>
      </c>
    </row>
    <row r="354" ht="15.75" customHeight="1" s="19">
      <c r="A354" s="3" t="n">
        <v>228</v>
      </c>
      <c r="B354" s="3" t="inlineStr">
        <is>
          <t>Bismuth (III) Sulfide</t>
        </is>
      </c>
      <c r="C354" s="3" t="inlineStr">
        <is>
          <t>1345-07-9</t>
        </is>
      </c>
      <c r="D354" s="8" t="inlineStr">
        <is>
          <t>283010</t>
        </is>
      </c>
      <c r="E354" s="3" t="inlineStr">
        <is>
          <t>Bismuth Compound</t>
        </is>
      </c>
      <c r="F354" s="3" t="inlineStr">
        <is>
          <t>High</t>
        </is>
      </c>
      <c r="G354" s="3" t="inlineStr">
        <is>
          <t>Pharmaceuticals, cosmetics (pearlescent)</t>
        </is>
      </c>
      <c r="H354" s="3" t="inlineStr">
        <is>
          <t>Lead-free solder, alloys</t>
        </is>
      </c>
      <c r="I354" s="3" t="inlineStr">
        <is>
          <t>Active</t>
        </is>
      </c>
      <c r="J354" s="3" t="inlineStr">
        <is>
          <t>Post-transition Metal Salt</t>
        </is>
      </c>
    </row>
    <row r="355" ht="15.75" customHeight="1" s="19">
      <c r="A355" s="3" t="n">
        <v>229</v>
      </c>
      <c r="B355" s="3" t="inlineStr">
        <is>
          <t>Strontium Hydrogen Phosphate</t>
        </is>
      </c>
      <c r="C355" s="3" t="inlineStr">
        <is>
          <t>13450-99-2</t>
        </is>
      </c>
      <c r="D355" s="8" t="inlineStr">
        <is>
          <t>283526</t>
        </is>
      </c>
      <c r="E355" s="3" t="inlineStr">
        <is>
          <t>Strontium Compound</t>
        </is>
      </c>
      <c r="F355" s="3" t="inlineStr">
        <is>
          <t>High</t>
        </is>
      </c>
      <c r="G355" s="3" t="inlineStr">
        <is>
          <t>Fireworks, ceramics</t>
        </is>
      </c>
      <c r="H355" s="3" t="inlineStr">
        <is>
          <t>Ferrite magnets, glass</t>
        </is>
      </c>
      <c r="I355" s="3" t="inlineStr">
        <is>
          <t>Active</t>
        </is>
      </c>
      <c r="J355" s="3" t="inlineStr">
        <is>
          <t>Alkaline Earth Metal Salt</t>
        </is>
      </c>
    </row>
    <row r="356" ht="15.75" customHeight="1" s="19">
      <c r="A356" s="3" t="n">
        <v>230</v>
      </c>
      <c r="B356" s="3" t="inlineStr">
        <is>
          <t>Ammonium Iodide ACS</t>
        </is>
      </c>
      <c r="C356" s="3" t="inlineStr">
        <is>
          <t>12027-06-4</t>
        </is>
      </c>
      <c r="D356" s="8" t="inlineStr">
        <is>
          <t>282760</t>
        </is>
      </c>
      <c r="E356" s="3" t="inlineStr">
        <is>
          <t>Ammonium Salt</t>
        </is>
      </c>
      <c r="F356" s="3" t="inlineStr">
        <is>
          <t>High</t>
        </is>
      </c>
      <c r="G356" s="3" t="inlineStr">
        <is>
          <t>Analytical chemistry, etching</t>
        </is>
      </c>
      <c r="H356" s="3" t="inlineStr">
        <is>
          <t>Fertilizers, water treatment</t>
        </is>
      </c>
      <c r="I356" s="3" t="inlineStr">
        <is>
          <t>Bulk</t>
        </is>
      </c>
      <c r="J356" s="3" t="inlineStr">
        <is>
          <t>Inorganic Ammonium Salt</t>
        </is>
      </c>
    </row>
    <row r="357" ht="15.75" customHeight="1" s="19">
      <c r="A357" s="3" t="n">
        <v>231</v>
      </c>
      <c r="B357" s="3" t="inlineStr">
        <is>
          <t>Ammonium Nickel Sulfate</t>
        </is>
      </c>
      <c r="C357" s="3" t="inlineStr">
        <is>
          <t>7785-20-8</t>
        </is>
      </c>
      <c r="D357" s="8" t="inlineStr">
        <is>
          <t>283324</t>
        </is>
      </c>
      <c r="E357" s="3" t="inlineStr">
        <is>
          <t>Nickel Compound</t>
        </is>
      </c>
      <c r="F357" s="3" t="inlineStr">
        <is>
          <t>High</t>
        </is>
      </c>
      <c r="G357" s="3" t="inlineStr">
        <is>
          <t>Electroplating, batteries</t>
        </is>
      </c>
      <c r="H357" s="3" t="inlineStr">
        <is>
          <t>Catalysis, ceramics</t>
        </is>
      </c>
      <c r="I357" s="3" t="inlineStr">
        <is>
          <t>Bulk</t>
        </is>
      </c>
      <c r="J357" s="3" t="inlineStr">
        <is>
          <t>Transition Metal Salt</t>
        </is>
      </c>
    </row>
    <row r="358" ht="15.75" customHeight="1" s="19">
      <c r="A358" s="3" t="n">
        <v>232</v>
      </c>
      <c r="B358" s="3" t="inlineStr">
        <is>
          <t>Bismuth (III) Carbonate Hydrate Basic</t>
        </is>
      </c>
      <c r="C358" s="3" t="n"/>
      <c r="D358" s="8" t="inlineStr">
        <is>
          <t>283699</t>
        </is>
      </c>
      <c r="E358" s="3" t="inlineStr">
        <is>
          <t>Bismuth Compound</t>
        </is>
      </c>
      <c r="F358" s="3" t="inlineStr">
        <is>
          <t>High</t>
        </is>
      </c>
      <c r="G358" s="3" t="inlineStr">
        <is>
          <t>Pharmaceuticals, cosmetics (pearlescent)</t>
        </is>
      </c>
      <c r="H358" s="3" t="inlineStr">
        <is>
          <t>Lead-free solder, alloys</t>
        </is>
      </c>
      <c r="I358" s="3" t="inlineStr">
        <is>
          <t>Active</t>
        </is>
      </c>
      <c r="J358" s="3" t="inlineStr">
        <is>
          <t>Post-transition Metal Salt</t>
        </is>
      </c>
    </row>
    <row r="359" ht="15.75" customHeight="1" s="19">
      <c r="A359" s="3" t="n">
        <v>233</v>
      </c>
      <c r="B359" s="3" t="inlineStr">
        <is>
          <t>Nickel (II) Chloride Hexahydrate</t>
        </is>
      </c>
      <c r="C359" s="3" t="inlineStr">
        <is>
          <t>7791-20-0</t>
        </is>
      </c>
      <c r="D359" s="8" t="inlineStr">
        <is>
          <t>282735</t>
        </is>
      </c>
      <c r="E359" s="3" t="inlineStr">
        <is>
          <t>Nickel Compound</t>
        </is>
      </c>
      <c r="F359" s="3" t="inlineStr">
        <is>
          <t>High</t>
        </is>
      </c>
      <c r="G359" s="3" t="inlineStr">
        <is>
          <t>Electroplating, batteries</t>
        </is>
      </c>
      <c r="H359" s="3" t="inlineStr">
        <is>
          <t>Catalysis, ceramics</t>
        </is>
      </c>
      <c r="I359" s="3" t="inlineStr">
        <is>
          <t>Bulk</t>
        </is>
      </c>
      <c r="J359" s="3" t="inlineStr">
        <is>
          <t>Transition Metal Salt</t>
        </is>
      </c>
    </row>
    <row r="360" ht="15.75" customHeight="1" s="19">
      <c r="A360" s="3" t="n">
        <v>234</v>
      </c>
      <c r="B360" s="3" t="inlineStr">
        <is>
          <t>Cadmium Nitrate Tetrahydrate</t>
        </is>
      </c>
      <c r="C360" s="3" t="inlineStr">
        <is>
          <t>10022-68-1</t>
        </is>
      </c>
      <c r="D360" s="8" t="inlineStr">
        <is>
          <t>283429</t>
        </is>
      </c>
      <c r="E360" s="3" t="inlineStr">
        <is>
          <t>Cadmium Compound</t>
        </is>
      </c>
      <c r="F360" s="3" t="inlineStr">
        <is>
          <t>High</t>
        </is>
      </c>
      <c r="G360" s="3" t="inlineStr">
        <is>
          <t>Batteries (NiCd), pigments</t>
        </is>
      </c>
      <c r="H360" s="3" t="inlineStr">
        <is>
          <t>Electroplating, alloys</t>
        </is>
      </c>
      <c r="I360" s="3" t="inlineStr">
        <is>
          <t>Active</t>
        </is>
      </c>
      <c r="J360" s="3" t="inlineStr">
        <is>
          <t>Heavy Metal Salt</t>
        </is>
      </c>
    </row>
    <row r="361" ht="15.75" customHeight="1" s="19">
      <c r="A361" s="3" t="n">
        <v>235</v>
      </c>
      <c r="B361" s="3" t="inlineStr">
        <is>
          <t>Cadmium Perchlorate</t>
        </is>
      </c>
      <c r="C361" s="3" t="inlineStr">
        <is>
          <t>10326-28-0</t>
        </is>
      </c>
      <c r="D361" s="8" t="inlineStr">
        <is>
          <t>282990</t>
        </is>
      </c>
      <c r="E361" s="3" t="inlineStr">
        <is>
          <t>Cadmium Compound</t>
        </is>
      </c>
      <c r="F361" s="3" t="inlineStr">
        <is>
          <t>High</t>
        </is>
      </c>
      <c r="G361" s="3" t="inlineStr">
        <is>
          <t>Batteries (NiCd), pigments</t>
        </is>
      </c>
      <c r="H361" s="3" t="inlineStr">
        <is>
          <t>Electroplating, alloys</t>
        </is>
      </c>
      <c r="I361" s="3" t="inlineStr">
        <is>
          <t>Active</t>
        </is>
      </c>
      <c r="J361" s="3" t="inlineStr">
        <is>
          <t>Heavy Metal Salt</t>
        </is>
      </c>
    </row>
    <row r="362" ht="15.75" customHeight="1" s="19">
      <c r="A362" s="3" t="n">
        <v>236</v>
      </c>
      <c r="B362" s="3" t="inlineStr">
        <is>
          <t>Cadmium Perchlorate Hydrate</t>
        </is>
      </c>
      <c r="C362" s="3" t="inlineStr">
        <is>
          <t>79490-00-9</t>
        </is>
      </c>
      <c r="D362" s="8" t="inlineStr">
        <is>
          <t>282990</t>
        </is>
      </c>
      <c r="E362" s="3" t="inlineStr">
        <is>
          <t>Cadmium Compound</t>
        </is>
      </c>
      <c r="F362" s="3" t="inlineStr">
        <is>
          <t>High</t>
        </is>
      </c>
      <c r="G362" s="3" t="inlineStr">
        <is>
          <t>Batteries (NiCd), pigments</t>
        </is>
      </c>
      <c r="H362" s="3" t="inlineStr">
        <is>
          <t>Electroplating, alloys</t>
        </is>
      </c>
      <c r="I362" s="3" t="inlineStr">
        <is>
          <t>Active</t>
        </is>
      </c>
      <c r="J362" s="3" t="inlineStr">
        <is>
          <t>Heavy Metal Salt</t>
        </is>
      </c>
    </row>
    <row r="363" ht="15.75" customHeight="1" s="19">
      <c r="A363" s="3" t="n">
        <v>237</v>
      </c>
      <c r="B363" s="3" t="inlineStr">
        <is>
          <t>n-Octyl Magnesium Chloride Series</t>
        </is>
      </c>
      <c r="C363" s="3" t="inlineStr">
        <is>
          <t>38841-98-4</t>
        </is>
      </c>
      <c r="D363" s="8" t="inlineStr">
        <is>
          <t>293190</t>
        </is>
      </c>
      <c r="E363" s="3" t="inlineStr">
        <is>
          <t>Grignard Reagent</t>
        </is>
      </c>
      <c r="F363" s="3" t="inlineStr">
        <is>
          <t>High</t>
        </is>
      </c>
      <c r="G363" s="3" t="inlineStr">
        <is>
          <t>Pharmaceutical synthesis</t>
        </is>
      </c>
      <c r="H363" s="3" t="inlineStr">
        <is>
          <t>Fine chemical manufacturing</t>
        </is>
      </c>
      <c r="I363" s="3" t="inlineStr">
        <is>
          <t>Active</t>
        </is>
      </c>
      <c r="J363" s="3" t="inlineStr">
        <is>
          <t>Organometallic Reagent</t>
        </is>
      </c>
    </row>
    <row r="364" ht="15.75" customHeight="1" s="19">
      <c r="A364" s="3" t="n">
        <v>238</v>
      </c>
      <c r="B364" s="3" t="inlineStr">
        <is>
          <t>Cadmium Sulfate Anhydrous</t>
        </is>
      </c>
      <c r="C364" s="3" t="inlineStr">
        <is>
          <t>10124-36-4</t>
        </is>
      </c>
      <c r="D364" s="8" t="inlineStr">
        <is>
          <t>283329</t>
        </is>
      </c>
      <c r="E364" s="3" t="inlineStr">
        <is>
          <t>Cadmium Compound</t>
        </is>
      </c>
      <c r="F364" s="3" t="inlineStr">
        <is>
          <t>High</t>
        </is>
      </c>
      <c r="G364" s="3" t="inlineStr">
        <is>
          <t>Batteries (NiCd), pigments</t>
        </is>
      </c>
      <c r="H364" s="3" t="inlineStr">
        <is>
          <t>Electroplating, alloys</t>
        </is>
      </c>
      <c r="I364" s="3" t="inlineStr">
        <is>
          <t>Active</t>
        </is>
      </c>
      <c r="J364" s="3" t="inlineStr">
        <is>
          <t>Heavy Metal Salt</t>
        </is>
      </c>
    </row>
    <row r="365" ht="15.75" customHeight="1" s="19">
      <c r="A365" s="3" t="n">
        <v>239</v>
      </c>
      <c r="B365" s="3" t="inlineStr">
        <is>
          <t>Cadmium Chloride Hemipentahydrate</t>
        </is>
      </c>
      <c r="C365" s="3" t="inlineStr">
        <is>
          <t>7790-78-5</t>
        </is>
      </c>
      <c r="D365" s="8" t="inlineStr">
        <is>
          <t>282739</t>
        </is>
      </c>
      <c r="E365" s="3" t="inlineStr">
        <is>
          <t>Cadmium Compound</t>
        </is>
      </c>
      <c r="F365" s="3" t="inlineStr">
        <is>
          <t>High</t>
        </is>
      </c>
      <c r="G365" s="3" t="inlineStr">
        <is>
          <t>Batteries (NiCd), pigments</t>
        </is>
      </c>
      <c r="H365" s="3" t="inlineStr">
        <is>
          <t>Electroplating, alloys</t>
        </is>
      </c>
      <c r="I365" s="3" t="inlineStr">
        <is>
          <t>Active</t>
        </is>
      </c>
      <c r="J365" s="3" t="inlineStr">
        <is>
          <t>Heavy Metal Salt</t>
        </is>
      </c>
    </row>
    <row r="366" ht="15.75" customHeight="1" s="19">
      <c r="A366" s="3" t="n">
        <v>240</v>
      </c>
      <c r="B366" s="3" t="inlineStr">
        <is>
          <t>Bismuth Chloride</t>
        </is>
      </c>
      <c r="C366" s="3" t="inlineStr">
        <is>
          <t>7787-60-2</t>
        </is>
      </c>
      <c r="D366" s="8" t="inlineStr">
        <is>
          <t>282739</t>
        </is>
      </c>
      <c r="E366" s="3" t="inlineStr">
        <is>
          <t>Bismuth Compound</t>
        </is>
      </c>
      <c r="F366" s="3" t="inlineStr">
        <is>
          <t>High</t>
        </is>
      </c>
      <c r="G366" s="3" t="inlineStr">
        <is>
          <t>Pharmaceuticals, cosmetics (pearlescent)</t>
        </is>
      </c>
      <c r="H366" s="3" t="inlineStr">
        <is>
          <t>Lead-free solder, alloys</t>
        </is>
      </c>
      <c r="I366" s="3" t="inlineStr">
        <is>
          <t>Active</t>
        </is>
      </c>
      <c r="J366" s="3" t="inlineStr">
        <is>
          <t>Post-transition Metal Salt</t>
        </is>
      </c>
    </row>
    <row r="367" ht="15.75" customHeight="1" s="19">
      <c r="A367" s="3" t="n">
        <v>241</v>
      </c>
      <c r="B367" s="3" t="inlineStr">
        <is>
          <t>Cobalt metal powder</t>
        </is>
      </c>
      <c r="C367" s="3" t="inlineStr">
        <is>
          <t>7440-48-4</t>
        </is>
      </c>
      <c r="D367" s="8" t="inlineStr">
        <is>
          <t>810520</t>
        </is>
      </c>
      <c r="E367" s="3" t="inlineStr">
        <is>
          <t>Metal Powder / Alloy</t>
        </is>
      </c>
      <c r="F367" s="3" t="inlineStr">
        <is>
          <t>High</t>
        </is>
      </c>
      <c r="G367" s="3" t="inlineStr">
        <is>
          <t>Powder metallurgy, additive manufacturing</t>
        </is>
      </c>
      <c r="H367" s="3" t="inlineStr">
        <is>
          <t>Thermal spray coatings</t>
        </is>
      </c>
      <c r="I367" s="3" t="inlineStr">
        <is>
          <t>Bulk</t>
        </is>
      </c>
      <c r="J367" s="3" t="inlineStr">
        <is>
          <t>Elemental Metal / Alloy</t>
        </is>
      </c>
    </row>
    <row r="368" ht="15.75" customHeight="1" s="19">
      <c r="A368" s="3" t="n">
        <v>242</v>
      </c>
      <c r="B368" s="3" t="inlineStr">
        <is>
          <t>Manganese powder</t>
        </is>
      </c>
      <c r="C368" s="3" t="inlineStr">
        <is>
          <t>7439-96-5</t>
        </is>
      </c>
      <c r="D368" s="8" t="inlineStr">
        <is>
          <t>811100</t>
        </is>
      </c>
      <c r="E368" s="3" t="inlineStr">
        <is>
          <t>Metal Powder / Alloy</t>
        </is>
      </c>
      <c r="F368" s="3" t="inlineStr">
        <is>
          <t>High</t>
        </is>
      </c>
      <c r="G368" s="3" t="inlineStr">
        <is>
          <t>Powder metallurgy, additive manufacturing</t>
        </is>
      </c>
      <c r="H368" s="3" t="inlineStr">
        <is>
          <t>Thermal spray coatings</t>
        </is>
      </c>
      <c r="I368" s="3" t="inlineStr">
        <is>
          <t>Bulk</t>
        </is>
      </c>
      <c r="J368" s="3" t="inlineStr">
        <is>
          <t>Elemental Metal / Alloy</t>
        </is>
      </c>
    </row>
    <row r="369" ht="15.75" customHeight="1" s="19">
      <c r="A369" s="3" t="n">
        <v>243</v>
      </c>
      <c r="B369" s="3" t="inlineStr">
        <is>
          <t>Chromium metal powder</t>
        </is>
      </c>
      <c r="C369" s="3" t="inlineStr">
        <is>
          <t>7440-47-4</t>
        </is>
      </c>
      <c r="D369" s="8" t="inlineStr">
        <is>
          <t>811221</t>
        </is>
      </c>
      <c r="E369" s="3" t="inlineStr">
        <is>
          <t>Metal Powder / Alloy</t>
        </is>
      </c>
      <c r="F369" s="3" t="inlineStr">
        <is>
          <t>High</t>
        </is>
      </c>
      <c r="G369" s="3" t="inlineStr">
        <is>
          <t>Powder metallurgy, additive manufacturing</t>
        </is>
      </c>
      <c r="H369" s="3" t="inlineStr">
        <is>
          <t>Thermal spray coatings</t>
        </is>
      </c>
      <c r="I369" s="3" t="inlineStr">
        <is>
          <t>Bulk</t>
        </is>
      </c>
      <c r="J369" s="3" t="inlineStr">
        <is>
          <t>Elemental Metal / Alloy</t>
        </is>
      </c>
    </row>
    <row r="370" ht="15.75" customHeight="1" s="19">
      <c r="A370" s="3" t="n">
        <v>244</v>
      </c>
      <c r="B370" s="3" t="inlineStr">
        <is>
          <t>Silver powder</t>
        </is>
      </c>
      <c r="C370" s="3" t="inlineStr">
        <is>
          <t>7440-02-0</t>
        </is>
      </c>
      <c r="D370" s="8" t="inlineStr">
        <is>
          <t>710610</t>
        </is>
      </c>
      <c r="E370" s="3" t="inlineStr">
        <is>
          <t>Silver Compound</t>
        </is>
      </c>
      <c r="F370" s="3" t="inlineStr">
        <is>
          <t>High</t>
        </is>
      </c>
      <c r="G370" s="3" t="inlineStr">
        <is>
          <t>Photography, electronics</t>
        </is>
      </c>
      <c r="H370" s="3" t="inlineStr">
        <is>
          <t>Antimicrobial applications</t>
        </is>
      </c>
      <c r="I370" s="3" t="inlineStr">
        <is>
          <t>Active</t>
        </is>
      </c>
      <c r="J370" s="3" t="inlineStr">
        <is>
          <t>Precious Metal Salt</t>
        </is>
      </c>
    </row>
    <row r="371" ht="15.75" customHeight="1" s="19">
      <c r="A371" s="3" t="n">
        <v>245</v>
      </c>
      <c r="B371" s="3" t="inlineStr">
        <is>
          <t>Chromium chloride (crcl3)</t>
        </is>
      </c>
      <c r="C371" s="3" t="inlineStr">
        <is>
          <t>10025-73-7</t>
        </is>
      </c>
      <c r="D371" s="8" t="inlineStr">
        <is>
          <t>282739</t>
        </is>
      </c>
      <c r="E371" s="3" t="inlineStr">
        <is>
          <t>Chromium Compound</t>
        </is>
      </c>
      <c r="F371" s="3" t="inlineStr">
        <is>
          <t>High</t>
        </is>
      </c>
      <c r="G371" s="3" t="inlineStr">
        <is>
          <t>Electroplating, leather tanning</t>
        </is>
      </c>
      <c r="H371" s="3" t="inlineStr">
        <is>
          <t>Pigments, catalysis</t>
        </is>
      </c>
      <c r="I371" s="3" t="inlineStr">
        <is>
          <t>Bulk</t>
        </is>
      </c>
      <c r="J371" s="3" t="inlineStr">
        <is>
          <t>Transition Metal Salt</t>
        </is>
      </c>
    </row>
    <row r="372" ht="15.75" customHeight="1" s="19">
      <c r="A372" s="3" t="n">
        <v>246</v>
      </c>
      <c r="B372" s="3" t="inlineStr">
        <is>
          <t>Coppe powder electrolytic 99.5%</t>
        </is>
      </c>
      <c r="C372" s="3" t="inlineStr">
        <is>
          <t>7440-50-8</t>
        </is>
      </c>
      <c r="D372" s="8" t="inlineStr">
        <is>
          <t>740611</t>
        </is>
      </c>
      <c r="E372" s="3" t="inlineStr">
        <is>
          <t>Metal Powder / Alloy</t>
        </is>
      </c>
      <c r="F372" s="3" t="inlineStr">
        <is>
          <t>High</t>
        </is>
      </c>
      <c r="G372" s="3" t="inlineStr">
        <is>
          <t>Powder metallurgy, additive manufacturing</t>
        </is>
      </c>
      <c r="H372" s="3" t="inlineStr">
        <is>
          <t>Thermal spray coatings</t>
        </is>
      </c>
      <c r="I372" s="3" t="inlineStr">
        <is>
          <t>Bulk</t>
        </is>
      </c>
      <c r="J372" s="3" t="inlineStr">
        <is>
          <t>Elemental Metal / Alloy</t>
        </is>
      </c>
    </row>
    <row r="373" ht="15.75" customHeight="1" s="19">
      <c r="A373" s="3" t="n">
        <v>247</v>
      </c>
      <c r="B373" s="3" t="inlineStr">
        <is>
          <t>Molybdenum powder</t>
        </is>
      </c>
      <c r="C373" s="3" t="inlineStr">
        <is>
          <t>7439-96-5</t>
        </is>
      </c>
      <c r="D373" s="8" t="inlineStr">
        <is>
          <t>810210</t>
        </is>
      </c>
      <c r="E373" s="3" t="inlineStr">
        <is>
          <t>Metal Powder / Alloy</t>
        </is>
      </c>
      <c r="F373" s="3" t="inlineStr">
        <is>
          <t>High</t>
        </is>
      </c>
      <c r="G373" s="3" t="inlineStr">
        <is>
          <t>Powder metallurgy, additive manufacturing</t>
        </is>
      </c>
      <c r="H373" s="3" t="inlineStr">
        <is>
          <t>Thermal spray coatings</t>
        </is>
      </c>
      <c r="I373" s="3" t="inlineStr">
        <is>
          <t>Bulk</t>
        </is>
      </c>
      <c r="J373" s="3" t="inlineStr">
        <is>
          <t>Elemental Metal / Alloy</t>
        </is>
      </c>
    </row>
    <row r="374" ht="15.75" customHeight="1" s="19">
      <c r="A374" s="3" t="n">
        <v>248</v>
      </c>
      <c r="B374" s="3" t="inlineStr">
        <is>
          <t>Cobalt (II) Sulfate Anhydrous</t>
        </is>
      </c>
      <c r="C374" s="3" t="inlineStr">
        <is>
          <t>10124-43-3</t>
        </is>
      </c>
      <c r="D374" s="8" t="inlineStr">
        <is>
          <t>283329</t>
        </is>
      </c>
      <c r="E374" s="3" t="inlineStr">
        <is>
          <t>Cobalt Compound</t>
        </is>
      </c>
      <c r="F374" s="3" t="inlineStr">
        <is>
          <t>High</t>
        </is>
      </c>
      <c r="G374" s="3" t="inlineStr">
        <is>
          <t>Battery cathodes, catalysts</t>
        </is>
      </c>
      <c r="H374" s="3" t="inlineStr">
        <is>
          <t>Pigments, driers</t>
        </is>
      </c>
      <c r="I374" s="3" t="inlineStr">
        <is>
          <t>Active</t>
        </is>
      </c>
      <c r="J374" s="3" t="inlineStr">
        <is>
          <t>Transition Metal Salt</t>
        </is>
      </c>
    </row>
    <row r="375" ht="15.75" customHeight="1" s="19">
      <c r="A375" s="3" t="n">
        <v>249</v>
      </c>
      <c r="B375" s="3" t="inlineStr">
        <is>
          <t>Indium(III) Sulfide</t>
        </is>
      </c>
      <c r="C375" s="3" t="n"/>
      <c r="D375" s="8" t="inlineStr">
        <is>
          <t>283010</t>
        </is>
      </c>
      <c r="E375" s="3" t="inlineStr">
        <is>
          <t>Indium Compound</t>
        </is>
      </c>
      <c r="F375" s="3" t="inlineStr">
        <is>
          <t>High</t>
        </is>
      </c>
      <c r="G375" s="3" t="inlineStr">
        <is>
          <t>ITO for displays, semiconductors</t>
        </is>
      </c>
      <c r="H375" s="3" t="inlineStr">
        <is>
          <t>Low-melting alloys</t>
        </is>
      </c>
      <c r="I375" s="3" t="inlineStr">
        <is>
          <t>Active</t>
        </is>
      </c>
      <c r="J375" s="3" t="inlineStr">
        <is>
          <t>Post-transition Metal Salt</t>
        </is>
      </c>
    </row>
    <row r="376" ht="15.75" customHeight="1" s="19">
      <c r="A376" s="3" t="n">
        <v>250</v>
      </c>
      <c r="B376" s="3" t="inlineStr">
        <is>
          <t>Cadmium Oxide</t>
        </is>
      </c>
      <c r="C376" s="3" t="inlineStr">
        <is>
          <t>1306-19-0</t>
        </is>
      </c>
      <c r="D376" s="8" t="inlineStr">
        <is>
          <t>282590</t>
        </is>
      </c>
      <c r="E376" s="3" t="inlineStr">
        <is>
          <t>Cadmium Compound</t>
        </is>
      </c>
      <c r="F376" s="3" t="inlineStr">
        <is>
          <t>High</t>
        </is>
      </c>
      <c r="G376" s="3" t="inlineStr">
        <is>
          <t>Batteries (NiCd), pigments</t>
        </is>
      </c>
      <c r="H376" s="3" t="inlineStr">
        <is>
          <t>Electroplating, alloys</t>
        </is>
      </c>
      <c r="I376" s="3" t="inlineStr">
        <is>
          <t>Active</t>
        </is>
      </c>
      <c r="J376" s="3" t="inlineStr">
        <is>
          <t>Heavy Metal Salt</t>
        </is>
      </c>
    </row>
    <row r="377" ht="15.75" customHeight="1" s="19">
      <c r="A377" s="3" t="n">
        <v>251</v>
      </c>
      <c r="B377" s="3" t="inlineStr">
        <is>
          <t>Sodium Cobaltinitrite</t>
        </is>
      </c>
      <c r="C377" s="3" t="inlineStr">
        <is>
          <t>13600-98-1</t>
        </is>
      </c>
      <c r="D377" s="8" t="inlineStr">
        <is>
          <t>283410</t>
        </is>
      </c>
      <c r="E377" s="3" t="inlineStr">
        <is>
          <t>Cobalt Compound</t>
        </is>
      </c>
      <c r="F377" s="3" t="inlineStr">
        <is>
          <t>High</t>
        </is>
      </c>
      <c r="G377" s="3" t="inlineStr">
        <is>
          <t>Battery cathodes, catalysts</t>
        </is>
      </c>
      <c r="H377" s="3" t="inlineStr">
        <is>
          <t>Pigments, driers</t>
        </is>
      </c>
      <c r="I377" s="3" t="inlineStr">
        <is>
          <t>Active</t>
        </is>
      </c>
      <c r="J377" s="3" t="inlineStr">
        <is>
          <t>Transition Metal Salt</t>
        </is>
      </c>
    </row>
    <row r="378" ht="15.75" customHeight="1" s="19">
      <c r="A378" s="3" t="n">
        <v>252</v>
      </c>
      <c r="B378" s="3" t="inlineStr">
        <is>
          <t>Cadmium Phosphate</t>
        </is>
      </c>
      <c r="C378" s="3" t="inlineStr">
        <is>
          <t>13477-17-3</t>
        </is>
      </c>
      <c r="D378" s="8" t="inlineStr">
        <is>
          <t>283526</t>
        </is>
      </c>
      <c r="E378" s="3" t="inlineStr">
        <is>
          <t>Cadmium Compound</t>
        </is>
      </c>
      <c r="F378" s="3" t="inlineStr">
        <is>
          <t>High</t>
        </is>
      </c>
      <c r="G378" s="3" t="inlineStr">
        <is>
          <t>Batteries (NiCd), pigments</t>
        </is>
      </c>
      <c r="H378" s="3" t="inlineStr">
        <is>
          <t>Electroplating, alloys</t>
        </is>
      </c>
      <c r="I378" s="3" t="inlineStr">
        <is>
          <t>Active</t>
        </is>
      </c>
      <c r="J378" s="3" t="inlineStr">
        <is>
          <t>Heavy Metal Salt</t>
        </is>
      </c>
    </row>
    <row r="379" ht="15.75" customHeight="1" s="19">
      <c r="A379" s="3" t="n">
        <v>253</v>
      </c>
      <c r="B379" s="3" t="inlineStr">
        <is>
          <t>Tin granular</t>
        </is>
      </c>
      <c r="C379" s="3" t="inlineStr">
        <is>
          <t>7440-31-5</t>
        </is>
      </c>
      <c r="D379" s="8" t="inlineStr">
        <is>
          <t>800110</t>
        </is>
      </c>
      <c r="E379" s="3" t="inlineStr">
        <is>
          <t>Metal Powder / Alloy</t>
        </is>
      </c>
      <c r="F379" s="3" t="inlineStr">
        <is>
          <t>High</t>
        </is>
      </c>
      <c r="G379" s="3" t="inlineStr">
        <is>
          <t>Powder metallurgy, additive manufacturing</t>
        </is>
      </c>
      <c r="H379" s="3" t="inlineStr">
        <is>
          <t>Thermal spray coatings</t>
        </is>
      </c>
      <c r="I379" s="3" t="inlineStr">
        <is>
          <t>Bulk</t>
        </is>
      </c>
      <c r="J379" s="3" t="inlineStr">
        <is>
          <t>Elemental Metal / Alloy</t>
        </is>
      </c>
    </row>
    <row r="380" ht="15.75" customHeight="1" s="19">
      <c r="A380" s="3" t="n">
        <v>254</v>
      </c>
      <c r="B380" s="3" t="inlineStr">
        <is>
          <t>Tin Copper Alloy Nanopower</t>
        </is>
      </c>
      <c r="C380" s="3" t="inlineStr">
        <is>
          <t>7440-31-5</t>
        </is>
      </c>
      <c r="D380" s="8" t="inlineStr">
        <is>
          <t>800110</t>
        </is>
      </c>
      <c r="E380" s="3" t="inlineStr">
        <is>
          <t>Metal Powder / Alloy</t>
        </is>
      </c>
      <c r="F380" s="3" t="inlineStr">
        <is>
          <t>High</t>
        </is>
      </c>
      <c r="G380" s="3" t="inlineStr">
        <is>
          <t>Powder metallurgy, additive manufacturing</t>
        </is>
      </c>
      <c r="H380" s="3" t="inlineStr">
        <is>
          <t>Thermal spray coatings</t>
        </is>
      </c>
      <c r="I380" s="3" t="inlineStr">
        <is>
          <t>Bulk</t>
        </is>
      </c>
      <c r="J380" s="3" t="inlineStr">
        <is>
          <t>Elemental Metal / Alloy</t>
        </is>
      </c>
    </row>
    <row r="381" ht="15.75" customHeight="1" s="19">
      <c r="A381" s="3" t="n">
        <v>255</v>
      </c>
      <c r="B381" s="3" t="inlineStr">
        <is>
          <t>Iron Nickel Alloy Nanopower</t>
        </is>
      </c>
      <c r="C381" s="3" t="inlineStr">
        <is>
          <t>7439-89-6</t>
        </is>
      </c>
      <c r="D381" s="8" t="inlineStr">
        <is>
          <t>720510</t>
        </is>
      </c>
      <c r="E381" s="3" t="inlineStr">
        <is>
          <t>Metal Powder / Alloy</t>
        </is>
      </c>
      <c r="F381" s="3" t="inlineStr">
        <is>
          <t>High</t>
        </is>
      </c>
      <c r="G381" s="3" t="inlineStr">
        <is>
          <t>Powder metallurgy, additive manufacturing</t>
        </is>
      </c>
      <c r="H381" s="3" t="inlineStr">
        <is>
          <t>Thermal spray coatings</t>
        </is>
      </c>
      <c r="I381" s="3" t="inlineStr">
        <is>
          <t>Bulk</t>
        </is>
      </c>
      <c r="J381" s="3" t="inlineStr">
        <is>
          <t>Elemental Metal / Alloy</t>
        </is>
      </c>
    </row>
    <row r="382" ht="15.75" customHeight="1" s="19">
      <c r="A382" s="3" t="n">
        <v>256</v>
      </c>
      <c r="B382" s="3" t="inlineStr">
        <is>
          <t>Copper powder</t>
        </is>
      </c>
      <c r="C382" s="3" t="inlineStr">
        <is>
          <t>7440-50-8</t>
        </is>
      </c>
      <c r="D382" s="8" t="inlineStr">
        <is>
          <t>740611</t>
        </is>
      </c>
      <c r="E382" s="3" t="inlineStr">
        <is>
          <t>Metal Powder / Alloy</t>
        </is>
      </c>
      <c r="F382" s="3" t="inlineStr">
        <is>
          <t>High</t>
        </is>
      </c>
      <c r="G382" s="3" t="inlineStr">
        <is>
          <t>Powder metallurgy, additive manufacturing</t>
        </is>
      </c>
      <c r="H382" s="3" t="inlineStr">
        <is>
          <t>Thermal spray coatings</t>
        </is>
      </c>
      <c r="I382" s="3" t="inlineStr">
        <is>
          <t>Bulk</t>
        </is>
      </c>
      <c r="J382" s="3" t="inlineStr">
        <is>
          <t>Elemental Metal / Alloy</t>
        </is>
      </c>
    </row>
    <row r="383" ht="15.75" customHeight="1" s="19">
      <c r="A383" s="3" t="n">
        <v>257</v>
      </c>
      <c r="B383" s="3" t="inlineStr">
        <is>
          <t>Iron powder</t>
        </is>
      </c>
      <c r="C383" s="3" t="inlineStr">
        <is>
          <t>7439-89-6</t>
        </is>
      </c>
      <c r="D383" s="8" t="inlineStr">
        <is>
          <t>720510</t>
        </is>
      </c>
      <c r="E383" s="3" t="inlineStr">
        <is>
          <t>Metal Powder / Alloy</t>
        </is>
      </c>
      <c r="F383" s="3" t="inlineStr">
        <is>
          <t>High</t>
        </is>
      </c>
      <c r="G383" s="3" t="inlineStr">
        <is>
          <t>Powder metallurgy, additive manufacturing</t>
        </is>
      </c>
      <c r="H383" s="3" t="inlineStr">
        <is>
          <t>Thermal spray coatings</t>
        </is>
      </c>
      <c r="I383" s="3" t="inlineStr">
        <is>
          <t>Bulk</t>
        </is>
      </c>
      <c r="J383" s="3" t="inlineStr">
        <is>
          <t>Elemental Metal / Alloy</t>
        </is>
      </c>
    </row>
    <row r="384" ht="15.75" customHeight="1" s="19">
      <c r="A384" s="3" t="n">
        <v>258</v>
      </c>
      <c r="B384" s="3" t="inlineStr">
        <is>
          <t>Zinc Copper Alloy Nanopower</t>
        </is>
      </c>
      <c r="C384" s="3" t="inlineStr">
        <is>
          <t>63338-02-3</t>
        </is>
      </c>
      <c r="D384" s="8" t="inlineStr">
        <is>
          <t>790310</t>
        </is>
      </c>
      <c r="E384" s="3" t="inlineStr">
        <is>
          <t>Metal Powder / Alloy</t>
        </is>
      </c>
      <c r="F384" s="3" t="inlineStr">
        <is>
          <t>High</t>
        </is>
      </c>
      <c r="G384" s="3" t="inlineStr">
        <is>
          <t>Powder metallurgy, additive manufacturing</t>
        </is>
      </c>
      <c r="H384" s="3" t="inlineStr">
        <is>
          <t>Thermal spray coatings</t>
        </is>
      </c>
      <c r="I384" s="3" t="inlineStr">
        <is>
          <t>Bulk</t>
        </is>
      </c>
      <c r="J384" s="3" t="inlineStr">
        <is>
          <t>Elemental Metal / Alloy</t>
        </is>
      </c>
    </row>
    <row r="385" ht="15.75" customHeight="1" s="19">
      <c r="A385" s="3" t="n">
        <v>259</v>
      </c>
      <c r="B385" s="3" t="inlineStr">
        <is>
          <t>Nickel powder</t>
        </is>
      </c>
      <c r="C385" s="3" t="inlineStr">
        <is>
          <t>7439-96-5</t>
        </is>
      </c>
      <c r="D385" s="8" t="inlineStr">
        <is>
          <t>750400</t>
        </is>
      </c>
      <c r="E385" s="3" t="inlineStr">
        <is>
          <t>Metal Powder / Alloy</t>
        </is>
      </c>
      <c r="F385" s="3" t="inlineStr">
        <is>
          <t>High</t>
        </is>
      </c>
      <c r="G385" s="3" t="inlineStr">
        <is>
          <t>Powder metallurgy, additive manufacturing</t>
        </is>
      </c>
      <c r="H385" s="3" t="inlineStr">
        <is>
          <t>Thermal spray coatings</t>
        </is>
      </c>
      <c r="I385" s="3" t="inlineStr">
        <is>
          <t>Bulk</t>
        </is>
      </c>
      <c r="J385" s="3" t="inlineStr">
        <is>
          <t>Elemental Metal / Alloy</t>
        </is>
      </c>
    </row>
    <row r="386" ht="15.75" customHeight="1" s="19">
      <c r="A386" s="3" t="n">
        <v>260</v>
      </c>
      <c r="B386" s="3" t="inlineStr">
        <is>
          <t>Tin powder</t>
        </is>
      </c>
      <c r="C386" s="3" t="inlineStr">
        <is>
          <t>7440-31-5</t>
        </is>
      </c>
      <c r="D386" s="8" t="inlineStr">
        <is>
          <t>800110</t>
        </is>
      </c>
      <c r="E386" s="3" t="inlineStr">
        <is>
          <t>Metal Powder / Alloy</t>
        </is>
      </c>
      <c r="F386" s="3" t="inlineStr">
        <is>
          <t>High</t>
        </is>
      </c>
      <c r="G386" s="3" t="inlineStr">
        <is>
          <t>Powder metallurgy, additive manufacturing</t>
        </is>
      </c>
      <c r="H386" s="3" t="inlineStr">
        <is>
          <t>Thermal spray coatings</t>
        </is>
      </c>
      <c r="I386" s="3" t="inlineStr">
        <is>
          <t>Bulk</t>
        </is>
      </c>
      <c r="J386" s="3" t="inlineStr">
        <is>
          <t>Elemental Metal / Alloy</t>
        </is>
      </c>
    </row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2">
    <mergeCell ref="A1:J1"/>
    <mergeCell ref="A125:J12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5" customWidth="1" style="19" min="1" max="1"/>
    <col width="40" customWidth="1" style="19" min="2" max="2"/>
    <col width="25" customWidth="1" style="19" min="3" max="3"/>
    <col width="10" customWidth="1" style="19" min="4" max="4"/>
    <col width="40" customWidth="1" style="19" min="5" max="5"/>
    <col width="30" customWidth="1" style="19" min="6" max="6"/>
    <col hidden="1" width="12" customWidth="1" style="19" min="7" max="7"/>
    <col width="40" customWidth="1" style="19" min="8" max="8"/>
    <col width="35" customWidth="1" style="19" min="9" max="9"/>
    <col width="15" customWidth="1" style="19" min="10" max="10"/>
    <col width="25" customWidth="1" style="19" min="11" max="11"/>
    <col width="50" customWidth="1" style="19" min="12" max="12"/>
    <col width="8" customWidth="1" style="19" min="13" max="15"/>
    <col width="16.57" customWidth="1" style="19" min="16" max="16"/>
    <col width="5.29" customWidth="1" style="19" min="17" max="17"/>
    <col width="18" customWidth="1" style="19" min="18" max="19"/>
    <col width="18.29" customWidth="1" style="19" min="20" max="20"/>
    <col width="17.43" customWidth="1" style="19" min="21" max="21"/>
    <col width="11.86" customWidth="1" style="19" min="22" max="22"/>
    <col width="27.86" customWidth="1" style="19" min="23" max="23"/>
    <col width="15.57" customWidth="1" style="19" min="24" max="24"/>
    <col width="17.71" customWidth="1" style="19" min="25" max="25"/>
    <col width="22" customWidth="1" style="19" min="26" max="26"/>
  </cols>
  <sheetData>
    <row r="1">
      <c r="A1" s="9" t="inlineStr">
        <is>
          <t>SCIMPLIFY PRODUCT CATALOG — All Categories with Market Intelligence</t>
        </is>
      </c>
      <c r="P1" s="5" t="inlineStr">
        <is>
          <t xml:space="preserve">HsnCodes Per Cat </t>
        </is>
      </c>
      <c r="Q1" s="5">
        <f>SUM(R1:Z1)</f>
        <v/>
      </c>
      <c r="R1" s="5">
        <f>COUNTA(R3:R16)</f>
        <v/>
      </c>
      <c r="S1" s="5">
        <f>COUNTA(S3:S16)</f>
        <v/>
      </c>
      <c r="T1" s="5">
        <f>COUNTA(T3:T16)</f>
        <v/>
      </c>
      <c r="U1" s="5">
        <f>COUNTA(U3:U16)</f>
        <v/>
      </c>
      <c r="V1" s="5">
        <f>COUNTA(V3:V16)</f>
        <v/>
      </c>
      <c r="W1" s="5">
        <f>COUNTA(W3:W16)</f>
        <v/>
      </c>
      <c r="X1" s="5">
        <f>COUNTA(X3:X16)</f>
        <v/>
      </c>
      <c r="Y1" s="5">
        <f>COUNTA(Y3:Y16)</f>
        <v/>
      </c>
      <c r="Z1" s="5">
        <f>COUNTA(Z3:Z16)</f>
        <v/>
      </c>
    </row>
    <row r="2">
      <c r="A2" s="10" t="inlineStr">
        <is>
          <t>#</t>
        </is>
      </c>
      <c r="B2" s="10" t="inlineStr">
        <is>
          <t>Chemical Name</t>
        </is>
      </c>
      <c r="C2" s="10" t="inlineStr">
        <is>
          <t>Scimplify Category</t>
        </is>
      </c>
      <c r="D2" s="10" t="inlineStr">
        <is>
          <t>HS Code</t>
        </is>
      </c>
      <c r="E2" s="10" t="inlineStr">
        <is>
          <t>HS Description</t>
        </is>
      </c>
      <c r="F2" s="10" t="inlineStr">
        <is>
          <t>Type of Chemistry</t>
        </is>
      </c>
      <c r="G2" s="10" t="inlineStr">
        <is>
          <t>Confidence</t>
        </is>
      </c>
      <c r="H2" s="10" t="inlineStr">
        <is>
          <t>Primary Application</t>
        </is>
      </c>
      <c r="I2" s="10" t="inlineStr">
        <is>
          <t>Secondary Application</t>
        </is>
      </c>
      <c r="J2" s="10" t="inlineStr">
        <is>
          <t>Classification</t>
        </is>
      </c>
      <c r="K2" s="10" t="inlineStr">
        <is>
          <t>Sub-Classification</t>
        </is>
      </c>
      <c r="L2" s="10" t="inlineStr">
        <is>
          <t>Buyer Segments</t>
        </is>
      </c>
      <c r="M2" s="10" t="inlineStr">
        <is>
          <t>Value</t>
        </is>
      </c>
      <c r="N2" s="10" t="inlineStr">
        <is>
          <t>Volume</t>
        </is>
      </c>
      <c r="O2" s="10" t="inlineStr">
        <is>
          <t>Margin</t>
        </is>
      </c>
      <c r="P2" s="5" t="inlineStr">
        <is>
          <t>Unique</t>
        </is>
      </c>
      <c r="Q2" s="5" t="inlineStr">
        <is>
          <t>Total</t>
        </is>
      </c>
      <c r="R2" s="5">
        <f>B3</f>
        <v/>
      </c>
      <c r="S2" s="5">
        <f>B18</f>
        <v/>
      </c>
      <c r="T2" s="5">
        <f>B27</f>
        <v/>
      </c>
      <c r="U2" s="5">
        <f>B36</f>
        <v/>
      </c>
      <c r="V2" s="5">
        <f>B50</f>
        <v/>
      </c>
      <c r="W2" s="5">
        <f>B83</f>
        <v/>
      </c>
      <c r="X2" s="5">
        <f>B96</f>
        <v/>
      </c>
      <c r="Y2" s="5">
        <f>B118</f>
        <v/>
      </c>
      <c r="Z2" s="5">
        <f>B157</f>
        <v/>
      </c>
    </row>
    <row r="3">
      <c r="A3" s="11" t="n"/>
      <c r="B3" s="11" t="inlineStr">
        <is>
          <t>▶ Glass &amp; Ceramics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R3" s="5">
        <f t="array" ref="R3:R16">Unique(D4:D17)</f>
        <v/>
      </c>
      <c r="S3" s="5">
        <f t="array" ref="S3:S9">UNIQUE(D19:D26)</f>
        <v/>
      </c>
      <c r="T3" s="5">
        <f t="array" ref="T3:T10">UNIQUE(D28:D35)</f>
        <v/>
      </c>
      <c r="U3" s="5">
        <f t="array" ref="U3:U12">UNIQUE(D37:D49)</f>
        <v/>
      </c>
      <c r="V3" s="5">
        <f t="array" ref="V3:V4">UNIQUE(D51:D67)</f>
        <v/>
      </c>
      <c r="W3" s="5">
        <f t="array" ref="W3:W14">UNIQUE(D84:D95)</f>
        <v/>
      </c>
      <c r="X3" s="5">
        <f t="array" ref="X3:X14">UNIQUE(D97:D111)</f>
        <v/>
      </c>
      <c r="Y3" s="5">
        <f t="array" ref="Y3:Y21">UNIQUE(D119:D142)</f>
        <v/>
      </c>
      <c r="Z3" s="5">
        <f t="array" ref="Z3:Z12">UNIQUE(D158:D172)</f>
        <v/>
      </c>
    </row>
    <row r="4">
      <c r="A4" s="3" t="n">
        <v>1</v>
      </c>
      <c r="B4" s="3" t="inlineStr">
        <is>
          <t>Potassium Carbonate</t>
        </is>
      </c>
      <c r="C4" s="3" t="inlineStr">
        <is>
          <t>Glass &amp; Ceramics</t>
        </is>
      </c>
      <c r="D4" s="3" t="inlineStr">
        <is>
          <t>283640</t>
        </is>
      </c>
      <c r="E4" s="3" t="inlineStr">
        <is>
          <t>Potassium carbonate</t>
        </is>
      </c>
      <c r="F4" s="3" t="inlineStr">
        <is>
          <t>Inorganic Salt</t>
        </is>
      </c>
      <c r="G4" s="3" t="inlineStr">
        <is>
          <t>High</t>
        </is>
      </c>
      <c r="H4" s="3" t="inlineStr">
        <is>
          <t>Glass manufacturing, ceramics</t>
        </is>
      </c>
      <c r="I4" s="3" t="inlineStr">
        <is>
          <t>Soap making, food additive</t>
        </is>
      </c>
      <c r="J4" s="3" t="inlineStr">
        <is>
          <t>Bulk</t>
        </is>
      </c>
      <c r="K4" s="3" t="inlineStr">
        <is>
          <t>Alkali Metal Salt</t>
        </is>
      </c>
      <c r="L4" s="3" t="inlineStr">
        <is>
          <t>Glass manufacturers, ceramic producers, soap makers</t>
        </is>
      </c>
      <c r="M4" s="3" t="inlineStr">
        <is>
          <t>Medium</t>
        </is>
      </c>
      <c r="N4" s="3" t="inlineStr">
        <is>
          <t>High</t>
        </is>
      </c>
      <c r="O4" s="3" t="inlineStr">
        <is>
          <t>Low</t>
        </is>
      </c>
      <c r="R4" s="5" t="inlineStr">
        <is>
          <t>283421</t>
        </is>
      </c>
      <c r="S4" s="5" t="inlineStr">
        <is>
          <t>382490</t>
        </is>
      </c>
      <c r="T4" s="5" t="inlineStr">
        <is>
          <t>283539</t>
        </is>
      </c>
      <c r="U4" s="5" t="inlineStr">
        <is>
          <t>291739</t>
        </is>
      </c>
      <c r="V4" s="5" t="inlineStr">
        <is>
          <t>380891</t>
        </is>
      </c>
      <c r="W4" s="5" t="inlineStr">
        <is>
          <t>282741</t>
        </is>
      </c>
      <c r="X4" s="5" t="inlineStr">
        <is>
          <t>320649</t>
        </is>
      </c>
      <c r="Y4" s="5" t="inlineStr">
        <is>
          <t>292290</t>
        </is>
      </c>
      <c r="Z4" s="5" t="inlineStr">
        <is>
          <t>340290</t>
        </is>
      </c>
    </row>
    <row r="5">
      <c r="A5" s="3" t="n">
        <v>2</v>
      </c>
      <c r="B5" s="3" t="inlineStr">
        <is>
          <t>Potassium Nitrate</t>
        </is>
      </c>
      <c r="C5" s="3" t="inlineStr">
        <is>
          <t>Glass &amp; Ceramics</t>
        </is>
      </c>
      <c r="D5" s="3" t="inlineStr">
        <is>
          <t>283421</t>
        </is>
      </c>
      <c r="E5" s="3" t="inlineStr">
        <is>
          <t>Nitrates of potassium</t>
        </is>
      </c>
      <c r="F5" s="3" t="inlineStr">
        <is>
          <t>Inorganic Salt</t>
        </is>
      </c>
      <c r="G5" s="3" t="inlineStr">
        <is>
          <t>High</t>
        </is>
      </c>
      <c r="H5" s="3" t="inlineStr">
        <is>
          <t>Fertilizers, glass manufacturing</t>
        </is>
      </c>
      <c r="I5" s="3" t="inlineStr">
        <is>
          <t>Fireworks, food preservation</t>
        </is>
      </c>
      <c r="J5" s="3" t="inlineStr">
        <is>
          <t>Bulk</t>
        </is>
      </c>
      <c r="K5" s="3" t="inlineStr">
        <is>
          <t>Alkali Metal Salt</t>
        </is>
      </c>
      <c r="L5" s="3" t="inlineStr">
        <is>
          <t>Glass manufacturers, fertilizer companies, pyrotechnics</t>
        </is>
      </c>
      <c r="M5" s="3" t="inlineStr">
        <is>
          <t>Medium</t>
        </is>
      </c>
      <c r="N5" s="3" t="inlineStr">
        <is>
          <t>High</t>
        </is>
      </c>
      <c r="O5" s="3" t="inlineStr">
        <is>
          <t>Low</t>
        </is>
      </c>
      <c r="R5" s="5" t="inlineStr">
        <is>
          <t>283411</t>
        </is>
      </c>
      <c r="S5" s="5" t="inlineStr">
        <is>
          <t>380899</t>
        </is>
      </c>
      <c r="T5" s="5" t="inlineStr">
        <is>
          <t>281830</t>
        </is>
      </c>
      <c r="U5" s="5" t="inlineStr">
        <is>
          <t>291550</t>
        </is>
      </c>
      <c r="W5" s="5" t="inlineStr">
        <is>
          <t>251110</t>
        </is>
      </c>
      <c r="X5" s="5" t="inlineStr">
        <is>
          <t>283529</t>
        </is>
      </c>
      <c r="Y5" s="5" t="inlineStr">
        <is>
          <t>350110</t>
        </is>
      </c>
      <c r="Z5" s="5" t="inlineStr">
        <is>
          <t>340219</t>
        </is>
      </c>
    </row>
    <row r="6">
      <c r="A6" s="3" t="n">
        <v>3</v>
      </c>
      <c r="B6" s="3" t="inlineStr">
        <is>
          <t>Sodium Nitrate</t>
        </is>
      </c>
      <c r="C6" s="3" t="inlineStr">
        <is>
          <t>Glass &amp; Ceramics</t>
        </is>
      </c>
      <c r="D6" s="3" t="inlineStr">
        <is>
          <t>283411</t>
        </is>
      </c>
      <c r="E6" s="3" t="inlineStr">
        <is>
          <t>Sodium nitrate</t>
        </is>
      </c>
      <c r="F6" s="3" t="inlineStr">
        <is>
          <t>Inorganic Salt</t>
        </is>
      </c>
      <c r="G6" s="3" t="inlineStr">
        <is>
          <t>High</t>
        </is>
      </c>
      <c r="H6" s="3" t="inlineStr">
        <is>
          <t>Fertilizers, glass manufacturing</t>
        </is>
      </c>
      <c r="I6" s="3" t="inlineStr">
        <is>
          <t>Food preservation, explosives</t>
        </is>
      </c>
      <c r="J6" s="3" t="inlineStr">
        <is>
          <t>Bulk</t>
        </is>
      </c>
      <c r="K6" s="3" t="inlineStr">
        <is>
          <t>Alkali Metal Salt</t>
        </is>
      </c>
      <c r="L6" s="3" t="inlineStr">
        <is>
          <t>Glass industry, fertilizer blenders, food processors</t>
        </is>
      </c>
      <c r="M6" s="3" t="inlineStr">
        <is>
          <t>Low</t>
        </is>
      </c>
      <c r="N6" s="3" t="inlineStr">
        <is>
          <t>High</t>
        </is>
      </c>
      <c r="O6" s="3" t="inlineStr">
        <is>
          <t>Low</t>
        </is>
      </c>
      <c r="R6" s="5" t="inlineStr">
        <is>
          <t>281830</t>
        </is>
      </c>
      <c r="S6" s="5" t="inlineStr">
        <is>
          <t>391390</t>
        </is>
      </c>
      <c r="T6" s="5" t="inlineStr">
        <is>
          <t>810600</t>
        </is>
      </c>
      <c r="U6" s="5" t="inlineStr">
        <is>
          <t>293490</t>
        </is>
      </c>
      <c r="W6" s="5" t="inlineStr">
        <is>
          <t>283790</t>
        </is>
      </c>
      <c r="X6" s="5" t="inlineStr">
        <is>
          <t>284190</t>
        </is>
      </c>
      <c r="Y6" s="5" t="inlineStr">
        <is>
          <t>350190</t>
        </is>
      </c>
      <c r="Z6" s="5" t="inlineStr">
        <is>
          <t>391232</t>
        </is>
      </c>
    </row>
    <row r="7">
      <c r="A7" s="3" t="n">
        <v>4</v>
      </c>
      <c r="B7" s="3" t="inlineStr">
        <is>
          <t>Aluminium Hydroxide</t>
        </is>
      </c>
      <c r="C7" s="3" t="inlineStr">
        <is>
          <t>Glass &amp; Ceramics</t>
        </is>
      </c>
      <c r="D7" s="3" t="inlineStr">
        <is>
          <t>281830</t>
        </is>
      </c>
      <c r="E7" s="3" t="inlineStr">
        <is>
          <t>Aluminium hydroxide</t>
        </is>
      </c>
      <c r="F7" s="3" t="inlineStr">
        <is>
          <t>Metal Hydroxide</t>
        </is>
      </c>
      <c r="G7" s="3" t="inlineStr">
        <is>
          <t>High</t>
        </is>
      </c>
      <c r="H7" s="3" t="inlineStr">
        <is>
          <t>Flame retardant filler, antacid</t>
        </is>
      </c>
      <c r="I7" s="3" t="inlineStr">
        <is>
          <t>Water treatment, ceramics</t>
        </is>
      </c>
      <c r="J7" s="3" t="inlineStr">
        <is>
          <t>Bulk</t>
        </is>
      </c>
      <c r="K7" s="3" t="inlineStr">
        <is>
          <t>Aluminum Compound</t>
        </is>
      </c>
      <c r="L7" s="3" t="inlineStr">
        <is>
          <t>Polymer compounders, pharma, water treatment plants</t>
        </is>
      </c>
      <c r="M7" s="3" t="inlineStr">
        <is>
          <t>Low</t>
        </is>
      </c>
      <c r="N7" s="3" t="inlineStr">
        <is>
          <t>High</t>
        </is>
      </c>
      <c r="O7" s="3" t="inlineStr">
        <is>
          <t>Low</t>
        </is>
      </c>
      <c r="R7" s="5" t="inlineStr">
        <is>
          <t>281820</t>
        </is>
      </c>
      <c r="S7" s="5" t="inlineStr">
        <is>
          <t>380210</t>
        </is>
      </c>
      <c r="T7" s="5" t="inlineStr">
        <is>
          <t>290390</t>
        </is>
      </c>
      <c r="U7" s="5" t="inlineStr">
        <is>
          <t>291529</t>
        </is>
      </c>
      <c r="W7" s="5" t="inlineStr">
        <is>
          <t>281511</t>
        </is>
      </c>
      <c r="X7" s="5" t="inlineStr">
        <is>
          <t>320416</t>
        </is>
      </c>
      <c r="Y7" s="5" t="inlineStr">
        <is>
          <t>350510</t>
        </is>
      </c>
      <c r="Z7" s="5" t="inlineStr">
        <is>
          <t>293392</t>
        </is>
      </c>
    </row>
    <row r="8">
      <c r="A8" s="3" t="n">
        <v>5</v>
      </c>
      <c r="B8" s="3" t="inlineStr">
        <is>
          <t>Aluminium Oxide</t>
        </is>
      </c>
      <c r="C8" s="3" t="inlineStr">
        <is>
          <t>Glass &amp; Ceramics</t>
        </is>
      </c>
      <c r="D8" s="3" t="inlineStr">
        <is>
          <t>281820</t>
        </is>
      </c>
      <c r="E8" s="3" t="inlineStr">
        <is>
          <t>Aluminium oxide</t>
        </is>
      </c>
      <c r="F8" s="3" t="inlineStr">
        <is>
          <t>Metal Oxide</t>
        </is>
      </c>
      <c r="G8" s="3" t="inlineStr">
        <is>
          <t>High</t>
        </is>
      </c>
      <c r="H8" s="3" t="inlineStr">
        <is>
          <t>Abrasives, refractory ceramics</t>
        </is>
      </c>
      <c r="I8" s="3" t="inlineStr">
        <is>
          <t>Catalyst support, gem production</t>
        </is>
      </c>
      <c r="J8" s="3" t="inlineStr">
        <is>
          <t>Bulk</t>
        </is>
      </c>
      <c r="K8" s="3" t="inlineStr">
        <is>
          <t>Aluminum Compound</t>
        </is>
      </c>
      <c r="L8" s="3" t="inlineStr">
        <is>
          <t>Abrasive manufacturers, ceramic producers, catalyst makers</t>
        </is>
      </c>
      <c r="M8" s="3" t="inlineStr">
        <is>
          <t>Medium</t>
        </is>
      </c>
      <c r="N8" s="3" t="inlineStr">
        <is>
          <t>High</t>
        </is>
      </c>
      <c r="O8" s="3" t="inlineStr">
        <is>
          <t>Low</t>
        </is>
      </c>
      <c r="R8" s="5" t="inlineStr">
        <is>
          <t>284019</t>
        </is>
      </c>
      <c r="S8" s="5" t="inlineStr">
        <is>
          <t>283325</t>
        </is>
      </c>
      <c r="T8" s="5" t="inlineStr">
        <is>
          <t>284190</t>
        </is>
      </c>
      <c r="U8" s="5" t="inlineStr">
        <is>
          <t>390410</t>
        </is>
      </c>
      <c r="W8" s="5" t="inlineStr">
        <is>
          <t>280800</t>
        </is>
      </c>
      <c r="X8" s="5" t="inlineStr">
        <is>
          <t>320419</t>
        </is>
      </c>
      <c r="Y8" s="5" t="inlineStr">
        <is>
          <t>283640</t>
        </is>
      </c>
      <c r="Z8" s="5" t="inlineStr">
        <is>
          <t>292249</t>
        </is>
      </c>
    </row>
    <row r="9">
      <c r="A9" s="3" t="n">
        <v>6</v>
      </c>
      <c r="B9" s="3" t="inlineStr">
        <is>
          <t>Borate</t>
        </is>
      </c>
      <c r="C9" s="3" t="inlineStr">
        <is>
          <t>Glass &amp; Ceramics</t>
        </is>
      </c>
      <c r="D9" s="3" t="inlineStr">
        <is>
          <t>284019</t>
        </is>
      </c>
      <c r="E9" s="3" t="inlineStr">
        <is>
          <t>Borates (other than disodium tetraborate)</t>
        </is>
      </c>
      <c r="F9" s="3" t="inlineStr">
        <is>
          <t>Inorganic Salt</t>
        </is>
      </c>
      <c r="G9" s="3" t="inlineStr">
        <is>
          <t>High</t>
        </is>
      </c>
      <c r="H9" s="3" t="inlineStr">
        <is>
          <t>Glass fiber, ceramics glaze</t>
        </is>
      </c>
      <c r="I9" s="3" t="inlineStr">
        <is>
          <t>Detergent booster, fire retardant</t>
        </is>
      </c>
      <c r="J9" s="3" t="inlineStr">
        <is>
          <t>Bulk</t>
        </is>
      </c>
      <c r="K9" s="3" t="inlineStr">
        <is>
          <t>Boron Compound</t>
        </is>
      </c>
      <c r="L9" s="3" t="inlineStr">
        <is>
          <t>Glass fiber producers, detergent makers, agriculture</t>
        </is>
      </c>
      <c r="M9" s="3" t="inlineStr">
        <is>
          <t>Medium</t>
        </is>
      </c>
      <c r="N9" s="3" t="inlineStr">
        <is>
          <t>High</t>
        </is>
      </c>
      <c r="O9" s="3" t="inlineStr">
        <is>
          <t>Low</t>
        </is>
      </c>
      <c r="R9" s="5" t="inlineStr">
        <is>
          <t>282510</t>
        </is>
      </c>
      <c r="S9" s="5" t="inlineStr">
        <is>
          <t>283324</t>
        </is>
      </c>
      <c r="T9" s="5" t="inlineStr">
        <is>
          <t>291990</t>
        </is>
      </c>
      <c r="U9" s="5" t="inlineStr">
        <is>
          <t>390210</t>
        </is>
      </c>
      <c r="W9" s="5" t="inlineStr">
        <is>
          <t>283325</t>
        </is>
      </c>
      <c r="X9" s="5" t="inlineStr">
        <is>
          <t>382400</t>
        </is>
      </c>
      <c r="Y9" s="5" t="inlineStr">
        <is>
          <t>180500</t>
        </is>
      </c>
      <c r="Z9" s="5" t="inlineStr">
        <is>
          <t>290942</t>
        </is>
      </c>
    </row>
    <row r="10">
      <c r="A10" s="3" t="n">
        <v>7</v>
      </c>
      <c r="B10" s="3" t="inlineStr">
        <is>
          <t>Copper Oxide</t>
        </is>
      </c>
      <c r="C10" s="3" t="inlineStr">
        <is>
          <t>Glass &amp; Ceramics</t>
        </is>
      </c>
      <c r="D10" s="3" t="inlineStr">
        <is>
          <t>282510</t>
        </is>
      </c>
      <c r="E10" s="3" t="inlineStr">
        <is>
          <t>Copper oxides and hydroxides</t>
        </is>
      </c>
      <c r="F10" s="3" t="inlineStr">
        <is>
          <t>Metal Oxide</t>
        </is>
      </c>
      <c r="G10" s="3" t="inlineStr">
        <is>
          <t>High</t>
        </is>
      </c>
      <c r="H10" s="3" t="inlineStr">
        <is>
          <t>Glass/ceramic colorant, catalyst</t>
        </is>
      </c>
      <c r="I10" s="3" t="inlineStr">
        <is>
          <t>Antifouling paints, semiconductors</t>
        </is>
      </c>
      <c r="J10" s="3" t="inlineStr">
        <is>
          <t>Bulk</t>
        </is>
      </c>
      <c r="K10" s="3" t="inlineStr">
        <is>
          <t>Transition Metal Oxide</t>
        </is>
      </c>
      <c r="L10" s="3" t="inlineStr">
        <is>
          <t>Glass manufacturers, paint companies, electronics</t>
        </is>
      </c>
      <c r="M10" s="3" t="inlineStr">
        <is>
          <t>Medium</t>
        </is>
      </c>
      <c r="N10" s="3" t="inlineStr">
        <is>
          <t>Medium</t>
        </is>
      </c>
      <c r="O10" s="3" t="inlineStr">
        <is>
          <t>Medium</t>
        </is>
      </c>
      <c r="R10" s="5" t="inlineStr">
        <is>
          <t>282110</t>
        </is>
      </c>
      <c r="T10" s="5" t="inlineStr">
        <is>
          <t>284019</t>
        </is>
      </c>
      <c r="U10" s="5" t="inlineStr">
        <is>
          <t>390110</t>
        </is>
      </c>
      <c r="W10" s="5" t="inlineStr">
        <is>
          <t>283620</t>
        </is>
      </c>
      <c r="X10" s="5" t="inlineStr">
        <is>
          <t>280300</t>
        </is>
      </c>
      <c r="Y10" s="5" t="inlineStr">
        <is>
          <t>151319</t>
        </is>
      </c>
      <c r="Z10" s="5" t="inlineStr">
        <is>
          <t>292090</t>
        </is>
      </c>
    </row>
    <row r="11">
      <c r="A11" s="3" t="n">
        <v>8</v>
      </c>
      <c r="B11" s="3" t="inlineStr">
        <is>
          <t>Iron Oxide</t>
        </is>
      </c>
      <c r="C11" s="3" t="inlineStr">
        <is>
          <t>Glass &amp; Ceramics</t>
        </is>
      </c>
      <c r="D11" s="3" t="inlineStr">
        <is>
          <t>282110</t>
        </is>
      </c>
      <c r="E11" s="3" t="inlineStr">
        <is>
          <t>Iron oxides and hydroxides</t>
        </is>
      </c>
      <c r="F11" s="3" t="inlineStr">
        <is>
          <t>Metal Oxide</t>
        </is>
      </c>
      <c r="G11" s="3" t="inlineStr">
        <is>
          <t>High</t>
        </is>
      </c>
      <c r="H11" s="3" t="inlineStr">
        <is>
          <t>Pigments (red/yellow/black), ceramics</t>
        </is>
      </c>
      <c r="I11" s="3" t="inlineStr">
        <is>
          <t>Cosmetics, construction</t>
        </is>
      </c>
      <c r="J11" s="3" t="inlineStr">
        <is>
          <t>Bulk</t>
        </is>
      </c>
      <c r="K11" s="3" t="inlineStr">
        <is>
          <t>Transition Metal Oxide</t>
        </is>
      </c>
      <c r="L11" s="3" t="inlineStr">
        <is>
          <t>Paint companies, cosmetic formulators, cement producers</t>
        </is>
      </c>
      <c r="M11" s="3" t="inlineStr">
        <is>
          <t>Low</t>
        </is>
      </c>
      <c r="N11" s="3" t="inlineStr">
        <is>
          <t>High</t>
        </is>
      </c>
      <c r="O11" s="3" t="inlineStr">
        <is>
          <t>Low</t>
        </is>
      </c>
      <c r="R11" s="5" t="inlineStr">
        <is>
          <t>282200</t>
        </is>
      </c>
      <c r="U11" s="5" t="inlineStr">
        <is>
          <t>390230</t>
        </is>
      </c>
      <c r="W11" s="5" t="inlineStr">
        <is>
          <t>391232</t>
        </is>
      </c>
      <c r="X11" s="5" t="inlineStr">
        <is>
          <t>290542</t>
        </is>
      </c>
      <c r="Y11" s="5" t="inlineStr">
        <is>
          <t>291590</t>
        </is>
      </c>
      <c r="Z11" s="5" t="inlineStr">
        <is>
          <t>291590</t>
        </is>
      </c>
    </row>
    <row r="12">
      <c r="A12" s="3" t="n">
        <v>9</v>
      </c>
      <c r="B12" s="3" t="inlineStr">
        <is>
          <t>Cobalt Oxide</t>
        </is>
      </c>
      <c r="C12" s="3" t="inlineStr">
        <is>
          <t>Glass &amp; Ceramics</t>
        </is>
      </c>
      <c r="D12" s="3" t="inlineStr">
        <is>
          <t>282200</t>
        </is>
      </c>
      <c r="E12" s="3" t="inlineStr">
        <is>
          <t>Cobalt oxides and hydroxides; commercial cobalt oxides</t>
        </is>
      </c>
      <c r="F12" s="3" t="inlineStr">
        <is>
          <t>Metal Oxide</t>
        </is>
      </c>
      <c r="G12" s="3" t="inlineStr">
        <is>
          <t>High</t>
        </is>
      </c>
      <c r="H12" s="3" t="inlineStr">
        <is>
          <t>Ceramic colorant (blue), battery cathode</t>
        </is>
      </c>
      <c r="I12" s="3" t="inlineStr">
        <is>
          <t>Glass decolorizer, catalyst</t>
        </is>
      </c>
      <c r="J12" s="3" t="inlineStr">
        <is>
          <t>Active</t>
        </is>
      </c>
      <c r="K12" s="3" t="inlineStr">
        <is>
          <t>Transition Metal Oxide</t>
        </is>
      </c>
      <c r="L12" s="3" t="inlineStr">
        <is>
          <t>Ceramic tile makers, battery manufacturers, glass industry</t>
        </is>
      </c>
      <c r="M12" s="3" t="inlineStr">
        <is>
          <t>High</t>
        </is>
      </c>
      <c r="N12" s="3" t="inlineStr">
        <is>
          <t>Medium</t>
        </is>
      </c>
      <c r="O12" s="3" t="inlineStr">
        <is>
          <t>High</t>
        </is>
      </c>
      <c r="R12" s="5" t="inlineStr">
        <is>
          <t>280490</t>
        </is>
      </c>
      <c r="U12" s="5" t="inlineStr">
        <is>
          <t>340490</t>
        </is>
      </c>
      <c r="W12" s="5" t="inlineStr">
        <is>
          <t>390690</t>
        </is>
      </c>
      <c r="X12" s="5" t="inlineStr">
        <is>
          <t>382490</t>
        </is>
      </c>
      <c r="Y12" s="5" t="inlineStr">
        <is>
          <t>170290</t>
        </is>
      </c>
      <c r="Z12" s="5" t="inlineStr">
        <is>
          <t>291529</t>
        </is>
      </c>
    </row>
    <row r="13">
      <c r="A13" s="3" t="n">
        <v>10</v>
      </c>
      <c r="B13" s="3" t="inlineStr">
        <is>
          <t>Selenium Powder</t>
        </is>
      </c>
      <c r="C13" s="3" t="inlineStr">
        <is>
          <t>Glass &amp; Ceramics</t>
        </is>
      </c>
      <c r="D13" s="3" t="inlineStr">
        <is>
          <t>280490</t>
        </is>
      </c>
      <c r="E13" s="3" t="inlineStr">
        <is>
          <t>Selenium</t>
        </is>
      </c>
      <c r="F13" s="3" t="inlineStr">
        <is>
          <t>Elemental Metalloid</t>
        </is>
      </c>
      <c r="G13" s="3" t="inlineStr">
        <is>
          <t>High</t>
        </is>
      </c>
      <c r="H13" s="3" t="inlineStr">
        <is>
          <t>Glass decolorizer, electronics</t>
        </is>
      </c>
      <c r="I13" s="3" t="inlineStr">
        <is>
          <t>Photovoltaics, nutrition supplements</t>
        </is>
      </c>
      <c r="J13" s="3" t="inlineStr">
        <is>
          <t>Active</t>
        </is>
      </c>
      <c r="K13" s="3" t="inlineStr">
        <is>
          <t>Chalcogen Element</t>
        </is>
      </c>
      <c r="L13" s="3" t="inlineStr">
        <is>
          <t>Glass manufacturers, solar cell producers, supplement makers</t>
        </is>
      </c>
      <c r="M13" s="3" t="inlineStr">
        <is>
          <t>High</t>
        </is>
      </c>
      <c r="N13" s="3" t="inlineStr">
        <is>
          <t>Low</t>
        </is>
      </c>
      <c r="O13" s="3" t="inlineStr">
        <is>
          <t>High</t>
        </is>
      </c>
      <c r="R13" s="5" t="inlineStr">
        <is>
          <t>281910</t>
        </is>
      </c>
      <c r="W13" s="5" t="inlineStr">
        <is>
          <t>130239</t>
        </is>
      </c>
      <c r="X13" s="5" t="inlineStr">
        <is>
          <t>290242</t>
        </is>
      </c>
      <c r="Y13" s="5" t="inlineStr">
        <is>
          <t>350490</t>
        </is>
      </c>
    </row>
    <row r="14">
      <c r="A14" s="3" t="n">
        <v>11</v>
      </c>
      <c r="B14" s="3" t="inlineStr">
        <is>
          <t>Magnesium Oxide (MgO)</t>
        </is>
      </c>
      <c r="C14" s="3" t="inlineStr">
        <is>
          <t>Glass &amp; Ceramics</t>
        </is>
      </c>
      <c r="D14" s="3" t="inlineStr">
        <is>
          <t>281910</t>
        </is>
      </c>
      <c r="E14" s="3" t="inlineStr">
        <is>
          <t>Magnesium oxide</t>
        </is>
      </c>
      <c r="F14" s="3" t="inlineStr">
        <is>
          <t>Metal Oxide</t>
        </is>
      </c>
      <c r="G14" s="3" t="inlineStr">
        <is>
          <t>High</t>
        </is>
      </c>
      <c r="H14" s="3" t="inlineStr">
        <is>
          <t>Refractory linings, cement</t>
        </is>
      </c>
      <c r="I14" s="3" t="inlineStr">
        <is>
          <t>Animal feed, fertilizer</t>
        </is>
      </c>
      <c r="J14" s="3" t="inlineStr">
        <is>
          <t>Bulk</t>
        </is>
      </c>
      <c r="K14" s="3" t="inlineStr">
        <is>
          <t>Alkaline Earth Oxide</t>
        </is>
      </c>
      <c r="L14" s="3" t="inlineStr">
        <is>
          <t>Steel plants, cement producers, feed manufacturers</t>
        </is>
      </c>
      <c r="M14" s="3" t="inlineStr">
        <is>
          <t>Low</t>
        </is>
      </c>
      <c r="N14" s="3" t="inlineStr">
        <is>
          <t>High</t>
        </is>
      </c>
      <c r="O14" s="3" t="inlineStr">
        <is>
          <t>Low</t>
        </is>
      </c>
      <c r="R14" s="5" t="inlineStr">
        <is>
          <t>282010</t>
        </is>
      </c>
      <c r="W14" s="5" t="inlineStr">
        <is>
          <t>130232</t>
        </is>
      </c>
      <c r="X14" s="5" t="inlineStr">
        <is>
          <t>290511</t>
        </is>
      </c>
      <c r="Y14" s="5" t="inlineStr">
        <is>
          <t>200799</t>
        </is>
      </c>
    </row>
    <row r="15">
      <c r="A15" s="3" t="n">
        <v>12</v>
      </c>
      <c r="B15" s="3" t="inlineStr">
        <is>
          <t>Manganese Dioxide (MnO2)</t>
        </is>
      </c>
      <c r="C15" s="3" t="inlineStr">
        <is>
          <t>Glass &amp; Ceramics</t>
        </is>
      </c>
      <c r="D15" s="3" t="inlineStr">
        <is>
          <t>282010</t>
        </is>
      </c>
      <c r="E15" s="3" t="inlineStr">
        <is>
          <t>Manganese oxides</t>
        </is>
      </c>
      <c r="F15" s="3" t="inlineStr">
        <is>
          <t>Metal Oxide</t>
        </is>
      </c>
      <c r="G15" s="3" t="inlineStr">
        <is>
          <t>High</t>
        </is>
      </c>
      <c r="H15" s="3" t="inlineStr">
        <is>
          <t>Dry cell batteries, glass decolorizer</t>
        </is>
      </c>
      <c r="I15" s="3" t="inlineStr">
        <is>
          <t>Water treatment, pigments</t>
        </is>
      </c>
      <c r="J15" s="3" t="inlineStr">
        <is>
          <t>Bulk</t>
        </is>
      </c>
      <c r="K15" s="3" t="inlineStr">
        <is>
          <t>Transition Metal Oxide</t>
        </is>
      </c>
      <c r="L15" s="3" t="inlineStr">
        <is>
          <t>Battery manufacturers, glass industry, water treatment</t>
        </is>
      </c>
      <c r="M15" s="3" t="inlineStr">
        <is>
          <t>Medium</t>
        </is>
      </c>
      <c r="N15" s="3" t="inlineStr">
        <is>
          <t>High</t>
        </is>
      </c>
      <c r="O15" s="3" t="inlineStr">
        <is>
          <t>Low</t>
        </is>
      </c>
      <c r="R15" s="5" t="inlineStr">
        <is>
          <t>261510</t>
        </is>
      </c>
      <c r="Y15" s="5" t="inlineStr">
        <is>
          <t>330210</t>
        </is>
      </c>
    </row>
    <row r="16">
      <c r="A16" s="3" t="n">
        <v>13</v>
      </c>
      <c r="B16" s="3" t="inlineStr">
        <is>
          <t>Zirconium Sand/Silicate</t>
        </is>
      </c>
      <c r="C16" s="3" t="inlineStr">
        <is>
          <t>Glass &amp; Ceramics</t>
        </is>
      </c>
      <c r="D16" s="3" t="inlineStr">
        <is>
          <t>261510</t>
        </is>
      </c>
      <c r="E16" s="3" t="inlineStr">
        <is>
          <t>Zirconium ores and concentrates</t>
        </is>
      </c>
      <c r="F16" s="3" t="inlineStr">
        <is>
          <t>Mineral / Ore</t>
        </is>
      </c>
      <c r="G16" s="3" t="inlineStr">
        <is>
          <t>High</t>
        </is>
      </c>
      <c r="H16" s="3" t="inlineStr">
        <is>
          <t>Refractory ceramics, foundry sand</t>
        </is>
      </c>
      <c r="I16" s="3" t="inlineStr">
        <is>
          <t>Nuclear applications, dental ceramics</t>
        </is>
      </c>
      <c r="J16" s="3" t="inlineStr">
        <is>
          <t>Bulk</t>
        </is>
      </c>
      <c r="K16" s="3" t="inlineStr">
        <is>
          <t>Zirconium Mineral</t>
        </is>
      </c>
      <c r="L16" s="3" t="inlineStr">
        <is>
          <t>Foundries, ceramic producers, nuclear industry</t>
        </is>
      </c>
      <c r="M16" s="3" t="inlineStr">
        <is>
          <t>High</t>
        </is>
      </c>
      <c r="N16" s="3" t="inlineStr">
        <is>
          <t>High</t>
        </is>
      </c>
      <c r="O16" s="3" t="inlineStr">
        <is>
          <t>Medium</t>
        </is>
      </c>
      <c r="R16" s="5" t="inlineStr">
        <is>
          <t>252800</t>
        </is>
      </c>
      <c r="Y16" s="5" t="inlineStr">
        <is>
          <t>291890</t>
        </is>
      </c>
    </row>
    <row r="17">
      <c r="A17" s="3" t="n">
        <v>14</v>
      </c>
      <c r="B17" s="3" t="inlineStr">
        <is>
          <t>Colemanite</t>
        </is>
      </c>
      <c r="C17" s="3" t="inlineStr">
        <is>
          <t>Glass &amp; Ceramics</t>
        </is>
      </c>
      <c r="D17" s="3" t="inlineStr">
        <is>
          <t>252800</t>
        </is>
      </c>
      <c r="E17" s="3" t="inlineStr">
        <is>
          <t>Natural borates and concentrates thereof</t>
        </is>
      </c>
      <c r="F17" s="3" t="inlineStr">
        <is>
          <t>Borate Mineral</t>
        </is>
      </c>
      <c r="G17" s="3" t="inlineStr">
        <is>
          <t>High</t>
        </is>
      </c>
      <c r="H17" s="3" t="inlineStr">
        <is>
          <t>Glass fiber, ceramics</t>
        </is>
      </c>
      <c r="I17" s="3" t="inlineStr">
        <is>
          <t>Agriculture (boron source)</t>
        </is>
      </c>
      <c r="J17" s="3" t="inlineStr">
        <is>
          <t>Bulk</t>
        </is>
      </c>
      <c r="K17" s="3" t="inlineStr">
        <is>
          <t>Natural Borate</t>
        </is>
      </c>
      <c r="L17" s="3" t="inlineStr">
        <is>
          <t>Glass fiber producers, ceramic manufacturers</t>
        </is>
      </c>
      <c r="M17" s="3" t="inlineStr">
        <is>
          <t>Medium</t>
        </is>
      </c>
      <c r="N17" s="3" t="inlineStr">
        <is>
          <t>High</t>
        </is>
      </c>
      <c r="O17" s="3" t="inlineStr">
        <is>
          <t>Low</t>
        </is>
      </c>
      <c r="Y17" s="5" t="inlineStr">
        <is>
          <t>350790</t>
        </is>
      </c>
    </row>
    <row r="18">
      <c r="A18" s="11" t="n"/>
      <c r="B18" s="11" t="inlineStr">
        <is>
          <t>▶ Water Treatment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Y18" s="5" t="inlineStr">
        <is>
          <t>291829</t>
        </is>
      </c>
    </row>
    <row r="19">
      <c r="A19" s="3" t="n">
        <v>15</v>
      </c>
      <c r="B19" s="3" t="inlineStr">
        <is>
          <t>Poly Ammonium Chloride (PAC)</t>
        </is>
      </c>
      <c r="C19" s="3" t="inlineStr">
        <is>
          <t>Water Treatment</t>
        </is>
      </c>
      <c r="D19" s="3" t="inlineStr">
        <is>
          <t>282710</t>
        </is>
      </c>
      <c r="E19" s="3" t="inlineStr">
        <is>
          <t>Aluminium chloride</t>
        </is>
      </c>
      <c r="F19" s="3" t="inlineStr">
        <is>
          <t>Flocculant</t>
        </is>
      </c>
      <c r="G19" s="3" t="inlineStr">
        <is>
          <t>High</t>
        </is>
      </c>
      <c r="H19" s="3" t="inlineStr">
        <is>
          <t>Drinking water treatment</t>
        </is>
      </c>
      <c r="I19" s="3" t="inlineStr">
        <is>
          <t>Wastewater treatment, paper industry</t>
        </is>
      </c>
      <c r="J19" s="3" t="inlineStr">
        <is>
          <t>Bulk</t>
        </is>
      </c>
      <c r="K19" s="3" t="inlineStr">
        <is>
          <t>Coagulant / Flocculant</t>
        </is>
      </c>
      <c r="L19" s="3" t="inlineStr">
        <is>
          <t>Municipal water utilities, paper mills, textile mills</t>
        </is>
      </c>
      <c r="M19" s="3" t="inlineStr">
        <is>
          <t>Low</t>
        </is>
      </c>
      <c r="N19" s="3" t="inlineStr">
        <is>
          <t>High</t>
        </is>
      </c>
      <c r="O19" s="3" t="inlineStr">
        <is>
          <t>Low</t>
        </is>
      </c>
      <c r="Y19" s="5" t="inlineStr">
        <is>
          <t>382490</t>
        </is>
      </c>
    </row>
    <row r="20">
      <c r="A20" s="3" t="n">
        <v>16</v>
      </c>
      <c r="B20" s="3" t="inlineStr">
        <is>
          <t>Anti-Foam</t>
        </is>
      </c>
      <c r="C20" s="3" t="inlineStr">
        <is>
          <t>Water Treatment</t>
        </is>
      </c>
      <c r="D20" s="3" t="inlineStr">
        <is>
          <t>382490</t>
        </is>
      </c>
      <c r="E20" s="3" t="inlineStr">
        <is>
          <t>Prepared chemical products nes</t>
        </is>
      </c>
      <c r="F20" s="3" t="inlineStr">
        <is>
          <t>Defoamer</t>
        </is>
      </c>
      <c r="G20" s="3" t="inlineStr">
        <is>
          <t>Medium</t>
        </is>
      </c>
      <c r="H20" s="3" t="inlineStr">
        <is>
          <t>Water treatment, paper manufacturing</t>
        </is>
      </c>
      <c r="I20" s="3" t="inlineStr">
        <is>
          <t>Food processing, textile dyeing</t>
        </is>
      </c>
      <c r="J20" s="3" t="inlineStr">
        <is>
          <t>Bulk</t>
        </is>
      </c>
      <c r="K20" s="3" t="inlineStr">
        <is>
          <t>Silicone / Non-silicone Defoamer</t>
        </is>
      </c>
      <c r="L20" s="3" t="inlineStr">
        <is>
          <t>Water treatment plants, paper mills, food processors</t>
        </is>
      </c>
      <c r="M20" s="3" t="inlineStr">
        <is>
          <t>Low</t>
        </is>
      </c>
      <c r="N20" s="3" t="inlineStr">
        <is>
          <t>Medium</t>
        </is>
      </c>
      <c r="O20" s="3" t="inlineStr">
        <is>
          <t>Medium</t>
        </is>
      </c>
      <c r="Y20" s="5" t="inlineStr">
        <is>
          <t>293620</t>
        </is>
      </c>
    </row>
    <row r="21" ht="15.75" customHeight="1" s="19">
      <c r="A21" s="3" t="n">
        <v>17</v>
      </c>
      <c r="B21" s="3" t="inlineStr">
        <is>
          <t>Aerobic Bacteria</t>
        </is>
      </c>
      <c r="C21" s="3" t="inlineStr">
        <is>
          <t>Water Treatment</t>
        </is>
      </c>
      <c r="D21" s="3" t="inlineStr">
        <is>
          <t>380899</t>
        </is>
      </c>
      <c r="E21" s="3" t="inlineStr">
        <is>
          <t>Other pesticides and similar products nes</t>
        </is>
      </c>
      <c r="F21" s="3" t="inlineStr">
        <is>
          <t>Biological Agent</t>
        </is>
      </c>
      <c r="G21" s="3" t="inlineStr">
        <is>
          <t>Medium</t>
        </is>
      </c>
      <c r="H21" s="3" t="inlineStr">
        <is>
          <t>Wastewater treatment (aerobic)</t>
        </is>
      </c>
      <c r="I21" s="3" t="inlineStr">
        <is>
          <t>Soil bioremediation</t>
        </is>
      </c>
      <c r="J21" s="3" t="inlineStr">
        <is>
          <t>Active</t>
        </is>
      </c>
      <c r="K21" s="3" t="inlineStr">
        <is>
          <t>Microbial Culture</t>
        </is>
      </c>
      <c r="L21" s="3" t="inlineStr">
        <is>
          <t>Wastewater treatment operators, environmental services</t>
        </is>
      </c>
      <c r="M21" s="3" t="inlineStr">
        <is>
          <t>Low</t>
        </is>
      </c>
      <c r="N21" s="3" t="inlineStr">
        <is>
          <t>Low</t>
        </is>
      </c>
      <c r="O21" s="3" t="inlineStr">
        <is>
          <t>High</t>
        </is>
      </c>
      <c r="Y21" s="5" t="inlineStr">
        <is>
          <t>150790</t>
        </is>
      </c>
    </row>
    <row r="22" ht="15.75" customHeight="1" s="19">
      <c r="A22" s="3" t="n">
        <v>18</v>
      </c>
      <c r="B22" s="3" t="inlineStr">
        <is>
          <t>Anaerobic Bacteria</t>
        </is>
      </c>
      <c r="C22" s="3" t="inlineStr">
        <is>
          <t>Water Treatment</t>
        </is>
      </c>
      <c r="D22" s="3" t="inlineStr">
        <is>
          <t>380899</t>
        </is>
      </c>
      <c r="E22" s="3" t="inlineStr">
        <is>
          <t>Other pesticides and similar products nes</t>
        </is>
      </c>
      <c r="F22" s="3" t="inlineStr">
        <is>
          <t>Biological Agent</t>
        </is>
      </c>
      <c r="G22" s="3" t="inlineStr">
        <is>
          <t>Medium</t>
        </is>
      </c>
      <c r="H22" s="3" t="inlineStr">
        <is>
          <t>Wastewater treatment (anaerobic)</t>
        </is>
      </c>
      <c r="I22" s="3" t="inlineStr">
        <is>
          <t>Biogas generation</t>
        </is>
      </c>
      <c r="J22" s="3" t="inlineStr">
        <is>
          <t>Active</t>
        </is>
      </c>
      <c r="K22" s="3" t="inlineStr">
        <is>
          <t>Microbial Culture</t>
        </is>
      </c>
      <c r="L22" s="3" t="inlineStr">
        <is>
          <t>Wastewater treatment operators, biogas plants</t>
        </is>
      </c>
      <c r="M22" s="3" t="inlineStr">
        <is>
          <t>Low</t>
        </is>
      </c>
      <c r="N22" s="3" t="inlineStr">
        <is>
          <t>Low</t>
        </is>
      </c>
      <c r="O22" s="3" t="inlineStr">
        <is>
          <t>High</t>
        </is>
      </c>
    </row>
    <row r="23" ht="15.75" customHeight="1" s="19">
      <c r="A23" s="3" t="n">
        <v>19</v>
      </c>
      <c r="B23" s="3" t="inlineStr">
        <is>
          <t>Ion Exchange Resin</t>
        </is>
      </c>
      <c r="C23" s="3" t="inlineStr">
        <is>
          <t>Water Treatment</t>
        </is>
      </c>
      <c r="D23" s="3" t="inlineStr">
        <is>
          <t>391390</t>
        </is>
      </c>
      <c r="E23" s="3" t="inlineStr">
        <is>
          <t>Ion-exchangers based on polymers</t>
        </is>
      </c>
      <c r="F23" s="3" t="inlineStr">
        <is>
          <t>Polymer Resin</t>
        </is>
      </c>
      <c r="G23" s="3" t="inlineStr">
        <is>
          <t>High</t>
        </is>
      </c>
      <c r="H23" s="3" t="inlineStr">
        <is>
          <t>Water softening, demineralization</t>
        </is>
      </c>
      <c r="I23" s="3" t="inlineStr">
        <is>
          <t>Pharmaceutical purification</t>
        </is>
      </c>
      <c r="J23" s="3" t="inlineStr">
        <is>
          <t>Active</t>
        </is>
      </c>
      <c r="K23" s="3" t="inlineStr">
        <is>
          <t>Synthetic Polymer</t>
        </is>
      </c>
      <c r="L23" s="3" t="inlineStr">
        <is>
          <t>Water treatment companies, pharma, power plants</t>
        </is>
      </c>
      <c r="M23" s="3" t="inlineStr">
        <is>
          <t>High</t>
        </is>
      </c>
      <c r="N23" s="3" t="inlineStr">
        <is>
          <t>Medium</t>
        </is>
      </c>
      <c r="O23" s="3" t="inlineStr">
        <is>
          <t>High</t>
        </is>
      </c>
    </row>
    <row r="24" ht="15.75" customHeight="1" s="19">
      <c r="A24" s="3" t="n">
        <v>20</v>
      </c>
      <c r="B24" s="3" t="inlineStr">
        <is>
          <t>Activated Carbon</t>
        </is>
      </c>
      <c r="C24" s="3" t="inlineStr">
        <is>
          <t>Water Treatment</t>
        </is>
      </c>
      <c r="D24" s="3" t="inlineStr">
        <is>
          <t>380210</t>
        </is>
      </c>
      <c r="E24" s="3" t="inlineStr">
        <is>
          <t>Activated carbon</t>
        </is>
      </c>
      <c r="F24" s="3" t="inlineStr">
        <is>
          <t>Adsorbent</t>
        </is>
      </c>
      <c r="G24" s="3" t="inlineStr">
        <is>
          <t>High</t>
        </is>
      </c>
      <c r="H24" s="3" t="inlineStr">
        <is>
          <t>Water purification, air filtration</t>
        </is>
      </c>
      <c r="I24" s="3" t="inlineStr">
        <is>
          <t>Gold recovery, pharma</t>
        </is>
      </c>
      <c r="J24" s="3" t="inlineStr">
        <is>
          <t>Bulk</t>
        </is>
      </c>
      <c r="K24" s="3" t="inlineStr">
        <is>
          <t>Carbon Material</t>
        </is>
      </c>
      <c r="L24" s="3" t="inlineStr">
        <is>
          <t>Water treatment plants, air filter makers, gold miners</t>
        </is>
      </c>
      <c r="M24" s="3" t="inlineStr">
        <is>
          <t>Medium</t>
        </is>
      </c>
      <c r="N24" s="3" t="inlineStr">
        <is>
          <t>High</t>
        </is>
      </c>
      <c r="O24" s="3" t="inlineStr">
        <is>
          <t>Medium</t>
        </is>
      </c>
    </row>
    <row r="25" ht="15.75" customHeight="1" s="19">
      <c r="A25" s="3" t="n">
        <v>21</v>
      </c>
      <c r="B25" s="3" t="inlineStr">
        <is>
          <t>Copper Sulphate</t>
        </is>
      </c>
      <c r="C25" s="3" t="inlineStr">
        <is>
          <t>Water Treatment</t>
        </is>
      </c>
      <c r="D25" s="3" t="inlineStr">
        <is>
          <t>283325</t>
        </is>
      </c>
      <c r="E25" s="3" t="inlineStr">
        <is>
          <t>Copper sulphate</t>
        </is>
      </c>
      <c r="F25" s="3" t="inlineStr">
        <is>
          <t>Metal Salt</t>
        </is>
      </c>
      <c r="G25" s="3" t="inlineStr">
        <is>
          <t>High</t>
        </is>
      </c>
      <c r="H25" s="3" t="inlineStr">
        <is>
          <t>Water treatment (algicide)</t>
        </is>
      </c>
      <c r="I25" s="3" t="inlineStr">
        <is>
          <t>Agriculture (fungicide), electroplating</t>
        </is>
      </c>
      <c r="J25" s="3" t="inlineStr">
        <is>
          <t>Bulk</t>
        </is>
      </c>
      <c r="K25" s="3" t="inlineStr">
        <is>
          <t>Transition Metal Salt</t>
        </is>
      </c>
      <c r="L25" s="3" t="inlineStr">
        <is>
          <t>Water utilities, farmers, electroplaters</t>
        </is>
      </c>
      <c r="M25" s="3" t="inlineStr">
        <is>
          <t>Low</t>
        </is>
      </c>
      <c r="N25" s="3" t="inlineStr">
        <is>
          <t>High</t>
        </is>
      </c>
      <c r="O25" s="3" t="inlineStr">
        <is>
          <t>Low</t>
        </is>
      </c>
    </row>
    <row r="26" ht="15.75" customHeight="1" s="19">
      <c r="A26" s="3" t="n">
        <v>22</v>
      </c>
      <c r="B26" s="3" t="inlineStr">
        <is>
          <t>Ferrous Sulphate</t>
        </is>
      </c>
      <c r="C26" s="3" t="inlineStr">
        <is>
          <t>Water Treatment</t>
        </is>
      </c>
      <c r="D26" s="3" t="inlineStr">
        <is>
          <t>283324</t>
        </is>
      </c>
      <c r="E26" s="3" t="inlineStr">
        <is>
          <t>Iron sulphates</t>
        </is>
      </c>
      <c r="F26" s="3" t="inlineStr">
        <is>
          <t>Metal Salt</t>
        </is>
      </c>
      <c r="G26" s="3" t="inlineStr">
        <is>
          <t>High</t>
        </is>
      </c>
      <c r="H26" s="3" t="inlineStr">
        <is>
          <t>Water treatment (coagulant)</t>
        </is>
      </c>
      <c r="I26" s="3" t="inlineStr">
        <is>
          <t>Iron supplement, cement colorant</t>
        </is>
      </c>
      <c r="J26" s="3" t="inlineStr">
        <is>
          <t>Bulk</t>
        </is>
      </c>
      <c r="K26" s="3" t="inlineStr">
        <is>
          <t>Transition Metal Salt</t>
        </is>
      </c>
      <c r="L26" s="3" t="inlineStr">
        <is>
          <t>Water utilities, pharma, cement industry</t>
        </is>
      </c>
      <c r="M26" s="3" t="inlineStr">
        <is>
          <t>Low</t>
        </is>
      </c>
      <c r="N26" s="3" t="inlineStr">
        <is>
          <t>High</t>
        </is>
      </c>
      <c r="O26" s="3" t="inlineStr">
        <is>
          <t>Low</t>
        </is>
      </c>
    </row>
    <row r="27" ht="15.75" customHeight="1" s="19">
      <c r="A27" s="11" t="n"/>
      <c r="B27" s="11" t="inlineStr">
        <is>
          <t>▶ Flame Retardants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</row>
    <row r="28" ht="15.75" customHeight="1" s="19">
      <c r="A28" s="3" t="n">
        <v>23</v>
      </c>
      <c r="B28" s="3" t="inlineStr">
        <is>
          <t>Antimony</t>
        </is>
      </c>
      <c r="C28" s="3" t="inlineStr">
        <is>
          <t>Flame Retardants</t>
        </is>
      </c>
      <c r="D28" s="3" t="inlineStr">
        <is>
          <t>810620</t>
        </is>
      </c>
      <c r="E28" s="3" t="inlineStr">
        <is>
          <t>Antimony, unwrought; antimony powders</t>
        </is>
      </c>
      <c r="F28" s="3" t="inlineStr">
        <is>
          <t>Elemental Metal</t>
        </is>
      </c>
      <c r="G28" s="3" t="inlineStr">
        <is>
          <t>High</t>
        </is>
      </c>
      <c r="H28" s="3" t="inlineStr">
        <is>
          <t>Flame retardant synergist</t>
        </is>
      </c>
      <c r="I28" s="3" t="inlineStr">
        <is>
          <t>Lead-acid batteries, alloys</t>
        </is>
      </c>
      <c r="J28" s="3" t="inlineStr">
        <is>
          <t>Bulk</t>
        </is>
      </c>
      <c r="K28" s="3" t="inlineStr">
        <is>
          <t>Metalloid Element</t>
        </is>
      </c>
      <c r="L28" s="3" t="inlineStr">
        <is>
          <t>Polymer compounders, battery makers, alloy producers</t>
        </is>
      </c>
      <c r="M28" s="3" t="inlineStr">
        <is>
          <t>High</t>
        </is>
      </c>
      <c r="N28" s="3" t="inlineStr">
        <is>
          <t>Medium</t>
        </is>
      </c>
      <c r="O28" s="3" t="inlineStr">
        <is>
          <t>Medium</t>
        </is>
      </c>
    </row>
    <row r="29" ht="15.75" customHeight="1" s="19">
      <c r="A29" s="3" t="n">
        <v>24</v>
      </c>
      <c r="B29" s="3" t="inlineStr">
        <is>
          <t>Ammonium Polyphosphate</t>
        </is>
      </c>
      <c r="C29" s="3" t="inlineStr">
        <is>
          <t>Flame Retardants</t>
        </is>
      </c>
      <c r="D29" s="3" t="inlineStr">
        <is>
          <t>283539</t>
        </is>
      </c>
      <c r="E29" s="3" t="inlineStr">
        <is>
          <t>Other polyphosphates</t>
        </is>
      </c>
      <c r="F29" s="3" t="inlineStr">
        <is>
          <t>Phosphorus Flame Retardant</t>
        </is>
      </c>
      <c r="G29" s="3" t="inlineStr">
        <is>
          <t>High</t>
        </is>
      </c>
      <c r="H29" s="3" t="inlineStr">
        <is>
          <t>Intumescent flame retardant systems</t>
        </is>
      </c>
      <c r="I29" s="3" t="inlineStr">
        <is>
          <t>Coatings, textiles</t>
        </is>
      </c>
      <c r="J29" s="3" t="inlineStr">
        <is>
          <t>Bulk</t>
        </is>
      </c>
      <c r="K29" s="3" t="inlineStr">
        <is>
          <t>Inorganic Phosphate</t>
        </is>
      </c>
      <c r="L29" s="3" t="inlineStr">
        <is>
          <t>Polymer compounders, paint manufacturers, textile mills</t>
        </is>
      </c>
      <c r="M29" s="3" t="inlineStr">
        <is>
          <t>Medium</t>
        </is>
      </c>
      <c r="N29" s="3" t="inlineStr">
        <is>
          <t>High</t>
        </is>
      </c>
      <c r="O29" s="3" t="inlineStr">
        <is>
          <t>Medium</t>
        </is>
      </c>
    </row>
    <row r="30" ht="15.75" customHeight="1" s="19">
      <c r="A30" s="3" t="n">
        <v>25</v>
      </c>
      <c r="B30" s="3" t="inlineStr">
        <is>
          <t>Alumina Trihydrate</t>
        </is>
      </c>
      <c r="C30" s="3" t="inlineStr">
        <is>
          <t>Flame Retardants</t>
        </is>
      </c>
      <c r="D30" s="3" t="inlineStr">
        <is>
          <t>281830</t>
        </is>
      </c>
      <c r="E30" s="3" t="inlineStr">
        <is>
          <t>Aluminium hydroxide</t>
        </is>
      </c>
      <c r="F30" s="3" t="inlineStr">
        <is>
          <t>Metal Hydroxide</t>
        </is>
      </c>
      <c r="G30" s="3" t="inlineStr">
        <is>
          <t>High</t>
        </is>
      </c>
      <c r="H30" s="3" t="inlineStr">
        <is>
          <t>Flame retardant filler (halogen-free)</t>
        </is>
      </c>
      <c r="I30" s="3" t="inlineStr">
        <is>
          <t>Solid surface manufacturing</t>
        </is>
      </c>
      <c r="J30" s="3" t="inlineStr">
        <is>
          <t>Bulk</t>
        </is>
      </c>
      <c r="K30" s="3" t="inlineStr">
        <is>
          <t>Aluminum Hydroxide</t>
        </is>
      </c>
      <c r="L30" s="3" t="inlineStr">
        <is>
          <t>Polymer compounders, cable manufacturers, construction</t>
        </is>
      </c>
      <c r="M30" s="3" t="inlineStr">
        <is>
          <t>Low</t>
        </is>
      </c>
      <c r="N30" s="3" t="inlineStr">
        <is>
          <t>High</t>
        </is>
      </c>
      <c r="O30" s="3" t="inlineStr">
        <is>
          <t>Low</t>
        </is>
      </c>
    </row>
    <row r="31" ht="15.75" customHeight="1" s="19">
      <c r="A31" s="3" t="n">
        <v>26</v>
      </c>
      <c r="B31" s="3" t="inlineStr">
        <is>
          <t>Bismuth</t>
        </is>
      </c>
      <c r="C31" s="3" t="inlineStr">
        <is>
          <t>Flame Retardants</t>
        </is>
      </c>
      <c r="D31" s="3" t="inlineStr">
        <is>
          <t>810600</t>
        </is>
      </c>
      <c r="E31" s="3" t="inlineStr">
        <is>
          <t>Bismuth and articles thereof</t>
        </is>
      </c>
      <c r="F31" s="3" t="inlineStr">
        <is>
          <t>Elemental Metal</t>
        </is>
      </c>
      <c r="G31" s="3" t="inlineStr">
        <is>
          <t>High</t>
        </is>
      </c>
      <c r="H31" s="3" t="inlineStr">
        <is>
          <t>Lead replacement in alloys, pharmaceuticals</t>
        </is>
      </c>
      <c r="I31" s="3" t="inlineStr">
        <is>
          <t>Cosmetics (pearlescent pigments)</t>
        </is>
      </c>
      <c r="J31" s="3" t="inlineStr">
        <is>
          <t>Active</t>
        </is>
      </c>
      <c r="K31" s="3" t="inlineStr">
        <is>
          <t>Post-transition Metal</t>
        </is>
      </c>
      <c r="L31" s="3" t="inlineStr">
        <is>
          <t>Alloy manufacturers, pharma, cosmetic ingredient suppliers</t>
        </is>
      </c>
      <c r="M31" s="3" t="inlineStr">
        <is>
          <t>High</t>
        </is>
      </c>
      <c r="N31" s="3" t="inlineStr">
        <is>
          <t>Low</t>
        </is>
      </c>
      <c r="O31" s="3" t="inlineStr">
        <is>
          <t>High</t>
        </is>
      </c>
    </row>
    <row r="32" ht="15.75" customHeight="1" s="19">
      <c r="A32" s="3" t="n">
        <v>27</v>
      </c>
      <c r="B32" s="3" t="inlineStr">
        <is>
          <t>DBDPE</t>
        </is>
      </c>
      <c r="C32" s="3" t="inlineStr">
        <is>
          <t>Flame Retardants</t>
        </is>
      </c>
      <c r="D32" s="3" t="inlineStr">
        <is>
          <t>290390</t>
        </is>
      </c>
      <c r="E32" s="3" t="inlineStr">
        <is>
          <t>Other halogenated derivatives of hydrocarbons</t>
        </is>
      </c>
      <c r="F32" s="3" t="inlineStr">
        <is>
          <t>Brominated Flame Retardant</t>
        </is>
      </c>
      <c r="G32" s="3" t="inlineStr">
        <is>
          <t>High</t>
        </is>
      </c>
      <c r="H32" s="3" t="inlineStr">
        <is>
          <t>Flame retardant for plastics, textiles</t>
        </is>
      </c>
      <c r="I32" s="3" t="inlineStr">
        <is>
          <t>Electronics encapsulation</t>
        </is>
      </c>
      <c r="J32" s="3" t="inlineStr">
        <is>
          <t>Bulk</t>
        </is>
      </c>
      <c r="K32" s="3" t="inlineStr">
        <is>
          <t>Organohalogen</t>
        </is>
      </c>
      <c r="L32" s="3" t="inlineStr">
        <is>
          <t>Polymer compounders, electronics manufacturers</t>
        </is>
      </c>
      <c r="M32" s="3" t="inlineStr">
        <is>
          <t>Medium</t>
        </is>
      </c>
      <c r="N32" s="3" t="inlineStr">
        <is>
          <t>Medium</t>
        </is>
      </c>
      <c r="O32" s="3" t="inlineStr">
        <is>
          <t>Medium</t>
        </is>
      </c>
    </row>
    <row r="33" ht="15.75" customHeight="1" s="19">
      <c r="A33" s="3" t="n">
        <v>28</v>
      </c>
      <c r="B33" s="3" t="inlineStr">
        <is>
          <t>Sodium Antimonate</t>
        </is>
      </c>
      <c r="C33" s="3" t="inlineStr">
        <is>
          <t>Flame Retardants</t>
        </is>
      </c>
      <c r="D33" s="3" t="inlineStr">
        <is>
          <t>284190</t>
        </is>
      </c>
      <c r="E33" s="3" t="inlineStr">
        <is>
          <t>Other salts of inorganic acids/peroxoacids nes</t>
        </is>
      </c>
      <c r="F33" s="3" t="inlineStr">
        <is>
          <t>Inorganic Salt</t>
        </is>
      </c>
      <c r="G33" s="3" t="inlineStr">
        <is>
          <t>High</t>
        </is>
      </c>
      <c r="H33" s="3" t="inlineStr">
        <is>
          <t>Flame retardant for PET/textiles</t>
        </is>
      </c>
      <c r="I33" s="3" t="inlineStr">
        <is>
          <t>Glass opacifier</t>
        </is>
      </c>
      <c r="J33" s="3" t="inlineStr">
        <is>
          <t>Bulk</t>
        </is>
      </c>
      <c r="K33" s="3" t="inlineStr">
        <is>
          <t>Antimony Salt</t>
        </is>
      </c>
      <c r="L33" s="3" t="inlineStr">
        <is>
          <t>PET resin producers, textile mills, glass industry</t>
        </is>
      </c>
      <c r="M33" s="3" t="inlineStr">
        <is>
          <t>Medium</t>
        </is>
      </c>
      <c r="N33" s="3" t="inlineStr">
        <is>
          <t>Medium</t>
        </is>
      </c>
      <c r="O33" s="3" t="inlineStr">
        <is>
          <t>Medium</t>
        </is>
      </c>
    </row>
    <row r="34" ht="15.75" customHeight="1" s="19">
      <c r="A34" s="3" t="n">
        <v>29</v>
      </c>
      <c r="B34" s="3" t="inlineStr">
        <is>
          <t>TCPP</t>
        </is>
      </c>
      <c r="C34" s="3" t="inlineStr">
        <is>
          <t>Flame Retardants</t>
        </is>
      </c>
      <c r="D34" s="3" t="inlineStr">
        <is>
          <t>291990</t>
        </is>
      </c>
      <c r="E34" s="3" t="inlineStr">
        <is>
          <t>Other esters of phosphoric acid and their salts</t>
        </is>
      </c>
      <c r="F34" s="3" t="inlineStr">
        <is>
          <t>Phosphorus Flame Retardant</t>
        </is>
      </c>
      <c r="G34" s="3" t="inlineStr">
        <is>
          <t>High</t>
        </is>
      </c>
      <c r="H34" s="3" t="inlineStr">
        <is>
          <t>Flexible polyurethane foam FR</t>
        </is>
      </c>
      <c r="I34" s="3" t="inlineStr">
        <is>
          <t>Rigid foam insulation</t>
        </is>
      </c>
      <c r="J34" s="3" t="inlineStr">
        <is>
          <t>Bulk</t>
        </is>
      </c>
      <c r="K34" s="3" t="inlineStr">
        <is>
          <t>Organophosphorus Ester</t>
        </is>
      </c>
      <c r="L34" s="3" t="inlineStr">
        <is>
          <t>PU foam manufacturers, insulation producers, automotive</t>
        </is>
      </c>
      <c r="M34" s="3" t="inlineStr">
        <is>
          <t>Medium</t>
        </is>
      </c>
      <c r="N34" s="3" t="inlineStr">
        <is>
          <t>High</t>
        </is>
      </c>
      <c r="O34" s="3" t="inlineStr">
        <is>
          <t>Medium</t>
        </is>
      </c>
    </row>
    <row r="35" ht="15.75" customHeight="1" s="19">
      <c r="A35" s="3" t="n">
        <v>30</v>
      </c>
      <c r="B35" s="3" t="inlineStr">
        <is>
          <t>Zinc Borate</t>
        </is>
      </c>
      <c r="C35" s="3" t="inlineStr">
        <is>
          <t>Flame Retardants</t>
        </is>
      </c>
      <c r="D35" s="3" t="inlineStr">
        <is>
          <t>284019</t>
        </is>
      </c>
      <c r="E35" s="3" t="inlineStr">
        <is>
          <t>Borates (other than disodium tetraborate)</t>
        </is>
      </c>
      <c r="F35" s="3" t="inlineStr">
        <is>
          <t>Borate Flame Retardant</t>
        </is>
      </c>
      <c r="G35" s="3" t="inlineStr">
        <is>
          <t>High</t>
        </is>
      </c>
      <c r="H35" s="3" t="inlineStr">
        <is>
          <t>Halogen-free flame retardant</t>
        </is>
      </c>
      <c r="I35" s="3" t="inlineStr">
        <is>
          <t>Wood preservation, ceramics</t>
        </is>
      </c>
      <c r="J35" s="3" t="inlineStr">
        <is>
          <t>Bulk</t>
        </is>
      </c>
      <c r="K35" s="3" t="inlineStr">
        <is>
          <t>Inorganic Borate</t>
        </is>
      </c>
      <c r="L35" s="3" t="inlineStr">
        <is>
          <t>Polymer compounders, wire/cable makers, wood treatment</t>
        </is>
      </c>
      <c r="M35" s="3" t="inlineStr">
        <is>
          <t>Medium</t>
        </is>
      </c>
      <c r="N35" s="3" t="inlineStr">
        <is>
          <t>Medium</t>
        </is>
      </c>
      <c r="O35" s="3" t="inlineStr">
        <is>
          <t>Medium</t>
        </is>
      </c>
    </row>
    <row r="36" ht="15.75" customHeight="1" s="19">
      <c r="A36" s="11" t="n"/>
      <c r="B36" s="11" t="inlineStr">
        <is>
          <t>▶ Plastic &amp; Rubber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</row>
    <row r="37" ht="15.75" customHeight="1" s="19">
      <c r="A37" s="3" t="n">
        <v>31</v>
      </c>
      <c r="B37" s="3" t="inlineStr">
        <is>
          <t>DOP (Dioctyl Phthalate)</t>
        </is>
      </c>
      <c r="C37" s="3" t="inlineStr">
        <is>
          <t>Plastic &amp; Rubber</t>
        </is>
      </c>
      <c r="D37" s="3" t="inlineStr">
        <is>
          <t>291732</t>
        </is>
      </c>
      <c r="E37" s="3" t="inlineStr">
        <is>
          <t>Dioctyl orthophthalates</t>
        </is>
      </c>
      <c r="F37" s="3" t="inlineStr">
        <is>
          <t>Plasticizer</t>
        </is>
      </c>
      <c r="G37" s="3" t="inlineStr">
        <is>
          <t>High</t>
        </is>
      </c>
      <c r="H37" s="3" t="inlineStr">
        <is>
          <t>PVC plasticizer (flexible PVC)</t>
        </is>
      </c>
      <c r="I37" s="3" t="inlineStr">
        <is>
          <t>Rubber, adhesives</t>
        </is>
      </c>
      <c r="J37" s="3" t="inlineStr">
        <is>
          <t>Bulk</t>
        </is>
      </c>
      <c r="K37" s="3" t="inlineStr">
        <is>
          <t>Phthalate Ester</t>
        </is>
      </c>
      <c r="L37" s="3" t="inlineStr">
        <is>
          <t>PVC processors, cable manufacturers, footwear makers</t>
        </is>
      </c>
      <c r="M37" s="3" t="inlineStr">
        <is>
          <t>Low</t>
        </is>
      </c>
      <c r="N37" s="3" t="inlineStr">
        <is>
          <t>High</t>
        </is>
      </c>
      <c r="O37" s="3" t="inlineStr">
        <is>
          <t>Low</t>
        </is>
      </c>
    </row>
    <row r="38" ht="15.75" customHeight="1" s="19">
      <c r="A38" s="3" t="n">
        <v>32</v>
      </c>
      <c r="B38" s="3" t="inlineStr">
        <is>
          <t>DINP (Diisononyl Phthalate)</t>
        </is>
      </c>
      <c r="C38" s="3" t="inlineStr">
        <is>
          <t>Plastic &amp; Rubber</t>
        </is>
      </c>
      <c r="D38" s="3" t="inlineStr">
        <is>
          <t>291739</t>
        </is>
      </c>
      <c r="E38" s="3" t="inlineStr">
        <is>
          <t>Other esters of phthalic acid</t>
        </is>
      </c>
      <c r="F38" s="3" t="inlineStr">
        <is>
          <t>Plasticizer</t>
        </is>
      </c>
      <c r="G38" s="3" t="inlineStr">
        <is>
          <t>High</t>
        </is>
      </c>
      <c r="H38" s="3" t="inlineStr">
        <is>
          <t>PVC plasticizer (DEHP alternative)</t>
        </is>
      </c>
      <c r="I38" s="3" t="inlineStr">
        <is>
          <t>Flooring, automotive interiors</t>
        </is>
      </c>
      <c r="J38" s="3" t="inlineStr">
        <is>
          <t>Bulk</t>
        </is>
      </c>
      <c r="K38" s="3" t="inlineStr">
        <is>
          <t>Phthalate Ester</t>
        </is>
      </c>
      <c r="L38" s="3" t="inlineStr">
        <is>
          <t>PVC processors, flooring manufacturers, automotive</t>
        </is>
      </c>
      <c r="M38" s="3" t="inlineStr">
        <is>
          <t>Medium</t>
        </is>
      </c>
      <c r="N38" s="3" t="inlineStr">
        <is>
          <t>High</t>
        </is>
      </c>
      <c r="O38" s="3" t="inlineStr">
        <is>
          <t>Low</t>
        </is>
      </c>
    </row>
    <row r="39" ht="15.75" customHeight="1" s="19">
      <c r="A39" s="3" t="n">
        <v>33</v>
      </c>
      <c r="B39" s="3" t="inlineStr">
        <is>
          <t>TBC (Tributyl Citrate)</t>
        </is>
      </c>
      <c r="C39" s="3" t="inlineStr">
        <is>
          <t>Plastic &amp; Rubber</t>
        </is>
      </c>
      <c r="D39" s="3" t="inlineStr">
        <is>
          <t>291550</t>
        </is>
      </c>
      <c r="E39" s="3" t="inlineStr">
        <is>
          <t>Citric acid and its salts and esters</t>
        </is>
      </c>
      <c r="F39" s="3" t="inlineStr">
        <is>
          <t>Bio-based Plasticizer</t>
        </is>
      </c>
      <c r="G39" s="3" t="inlineStr">
        <is>
          <t>High</t>
        </is>
      </c>
      <c r="H39" s="3" t="inlineStr">
        <is>
          <t>Non-phthalate plasticizer</t>
        </is>
      </c>
      <c r="I39" s="3" t="inlineStr">
        <is>
          <t>Food packaging films</t>
        </is>
      </c>
      <c r="J39" s="3" t="inlineStr">
        <is>
          <t>Bulk</t>
        </is>
      </c>
      <c r="K39" s="3" t="inlineStr">
        <is>
          <t>Citrate Ester</t>
        </is>
      </c>
      <c r="L39" s="3" t="inlineStr">
        <is>
          <t>Film manufacturers, food packaging, toy makers</t>
        </is>
      </c>
      <c r="M39" s="3" t="inlineStr">
        <is>
          <t>Medium</t>
        </is>
      </c>
      <c r="N39" s="3" t="inlineStr">
        <is>
          <t>Medium</t>
        </is>
      </c>
      <c r="O39" s="3" t="inlineStr">
        <is>
          <t>Medium</t>
        </is>
      </c>
    </row>
    <row r="40" ht="15.75" customHeight="1" s="19">
      <c r="A40" s="3" t="n">
        <v>34</v>
      </c>
      <c r="B40" s="3" t="inlineStr">
        <is>
          <t>MBTS (Rubber Accelerator)</t>
        </is>
      </c>
      <c r="C40" s="3" t="inlineStr">
        <is>
          <t>Plastic &amp; Rubber</t>
        </is>
      </c>
      <c r="D40" s="3" t="inlineStr">
        <is>
          <t>293490</t>
        </is>
      </c>
      <c r="E40" s="3" t="inlineStr">
        <is>
          <t>Other heterocyclic compounds</t>
        </is>
      </c>
      <c r="F40" s="3" t="inlineStr">
        <is>
          <t>Vulcanization Accelerator</t>
        </is>
      </c>
      <c r="G40" s="3" t="inlineStr">
        <is>
          <t>High</t>
        </is>
      </c>
      <c r="H40" s="3" t="inlineStr">
        <is>
          <t>Rubber vulcanization</t>
        </is>
      </c>
      <c r="I40" s="3" t="inlineStr">
        <is>
          <t>Tire manufacturing</t>
        </is>
      </c>
      <c r="J40" s="3" t="inlineStr">
        <is>
          <t>Bulk</t>
        </is>
      </c>
      <c r="K40" s="3" t="inlineStr">
        <is>
          <t>Thiazole Accelerator</t>
        </is>
      </c>
      <c r="L40" s="3" t="inlineStr">
        <is>
          <t>Tire manufacturers, rubber goods producers</t>
        </is>
      </c>
      <c r="M40" s="3" t="inlineStr">
        <is>
          <t>Medium</t>
        </is>
      </c>
      <c r="N40" s="3" t="inlineStr">
        <is>
          <t>Medium</t>
        </is>
      </c>
      <c r="O40" s="3" t="inlineStr">
        <is>
          <t>Medium</t>
        </is>
      </c>
    </row>
    <row r="41" ht="15.75" customHeight="1" s="19">
      <c r="A41" s="3" t="n">
        <v>35</v>
      </c>
      <c r="B41" s="3" t="inlineStr">
        <is>
          <t>Erucamide</t>
        </is>
      </c>
      <c r="C41" s="3" t="inlineStr">
        <is>
          <t>Plastic &amp; Rubber</t>
        </is>
      </c>
      <c r="D41" s="3" t="inlineStr">
        <is>
          <t>291529</t>
        </is>
      </c>
      <c r="E41" s="3" t="inlineStr">
        <is>
          <t>Other saturated acyclic monocarboxylic acids nes</t>
        </is>
      </c>
      <c r="F41" s="3" t="inlineStr">
        <is>
          <t>Slip Agent</t>
        </is>
      </c>
      <c r="G41" s="3" t="inlineStr">
        <is>
          <t>High</t>
        </is>
      </c>
      <c r="H41" s="3" t="inlineStr">
        <is>
          <t>Film slip/anti-block agent</t>
        </is>
      </c>
      <c r="I41" s="3" t="inlineStr">
        <is>
          <t>Polymer processing aid</t>
        </is>
      </c>
      <c r="J41" s="3" t="inlineStr">
        <is>
          <t>Bulk</t>
        </is>
      </c>
      <c r="K41" s="3" t="inlineStr">
        <is>
          <t>Fatty Acid Amide</t>
        </is>
      </c>
      <c r="L41" s="3" t="inlineStr">
        <is>
          <t>Film manufacturers, packaging companies</t>
        </is>
      </c>
      <c r="M41" s="3" t="inlineStr">
        <is>
          <t>Low</t>
        </is>
      </c>
      <c r="N41" s="3" t="inlineStr">
        <is>
          <t>High</t>
        </is>
      </c>
      <c r="O41" s="3" t="inlineStr">
        <is>
          <t>Low</t>
        </is>
      </c>
    </row>
    <row r="42" ht="15.75" customHeight="1" s="19">
      <c r="A42" s="3" t="n">
        <v>36</v>
      </c>
      <c r="B42" s="3" t="inlineStr">
        <is>
          <t>Oleamide</t>
        </is>
      </c>
      <c r="C42" s="3" t="inlineStr">
        <is>
          <t>Plastic &amp; Rubber</t>
        </is>
      </c>
      <c r="D42" s="3" t="inlineStr">
        <is>
          <t>291529</t>
        </is>
      </c>
      <c r="E42" s="3" t="inlineStr">
        <is>
          <t>Other saturated acyclic monocarboxylic acids nes</t>
        </is>
      </c>
      <c r="F42" s="3" t="inlineStr">
        <is>
          <t>Slip Agent</t>
        </is>
      </c>
      <c r="G42" s="3" t="inlineStr">
        <is>
          <t>High</t>
        </is>
      </c>
      <c r="H42" s="3" t="inlineStr">
        <is>
          <t>Film slip agent, lubricant</t>
        </is>
      </c>
      <c r="I42" s="3" t="inlineStr">
        <is>
          <t>Polymer processing aid</t>
        </is>
      </c>
      <c r="J42" s="3" t="inlineStr">
        <is>
          <t>Bulk</t>
        </is>
      </c>
      <c r="K42" s="3" t="inlineStr">
        <is>
          <t>Fatty Acid Amide</t>
        </is>
      </c>
      <c r="L42" s="3" t="inlineStr">
        <is>
          <t>Film/packaging companies, polymer processors</t>
        </is>
      </c>
      <c r="M42" s="3" t="inlineStr">
        <is>
          <t>Low</t>
        </is>
      </c>
      <c r="N42" s="3" t="inlineStr">
        <is>
          <t>High</t>
        </is>
      </c>
      <c r="O42" s="3" t="inlineStr">
        <is>
          <t>Low</t>
        </is>
      </c>
    </row>
    <row r="43" ht="15.75" customHeight="1" s="19">
      <c r="A43" s="3" t="n">
        <v>37</v>
      </c>
      <c r="B43" s="3" t="inlineStr">
        <is>
          <t>Behenamide</t>
        </is>
      </c>
      <c r="C43" s="3" t="inlineStr">
        <is>
          <t>Plastic &amp; Rubber</t>
        </is>
      </c>
      <c r="D43" s="3" t="inlineStr">
        <is>
          <t>291529</t>
        </is>
      </c>
      <c r="E43" s="3" t="inlineStr">
        <is>
          <t>Other saturated acyclic monocarboxylic acids nes</t>
        </is>
      </c>
      <c r="F43" s="3" t="inlineStr">
        <is>
          <t>Slip Agent</t>
        </is>
      </c>
      <c r="G43" s="3" t="inlineStr">
        <is>
          <t>High</t>
        </is>
      </c>
      <c r="H43" s="3" t="inlineStr">
        <is>
          <t>Anti-block agent for films</t>
        </is>
      </c>
      <c r="I43" s="3" t="inlineStr">
        <is>
          <t>Release agent</t>
        </is>
      </c>
      <c r="J43" s="3" t="inlineStr">
        <is>
          <t>Bulk</t>
        </is>
      </c>
      <c r="K43" s="3" t="inlineStr">
        <is>
          <t>Fatty Acid Amide</t>
        </is>
      </c>
      <c r="L43" s="3" t="inlineStr">
        <is>
          <t>Film manufacturers, packaging companies</t>
        </is>
      </c>
      <c r="M43" s="3" t="inlineStr">
        <is>
          <t>Low</t>
        </is>
      </c>
      <c r="N43" s="3" t="inlineStr">
        <is>
          <t>Medium</t>
        </is>
      </c>
      <c r="O43" s="3" t="inlineStr">
        <is>
          <t>Low</t>
        </is>
      </c>
    </row>
    <row r="44" ht="15.75" customHeight="1" s="19">
      <c r="A44" s="3" t="n">
        <v>38</v>
      </c>
      <c r="B44" s="3" t="inlineStr">
        <is>
          <t>Stearamide</t>
        </is>
      </c>
      <c r="C44" s="3" t="inlineStr">
        <is>
          <t>Plastic &amp; Rubber</t>
        </is>
      </c>
      <c r="D44" s="3" t="inlineStr">
        <is>
          <t>291529</t>
        </is>
      </c>
      <c r="E44" s="3" t="inlineStr">
        <is>
          <t>Other saturated acyclic monocarboxylic acids nes</t>
        </is>
      </c>
      <c r="F44" s="3" t="inlineStr">
        <is>
          <t>Slip / Release Agent</t>
        </is>
      </c>
      <c r="G44" s="3" t="inlineStr">
        <is>
          <t>High</t>
        </is>
      </c>
      <c r="H44" s="3" t="inlineStr">
        <is>
          <t>Polymer slip agent</t>
        </is>
      </c>
      <c r="I44" s="3" t="inlineStr">
        <is>
          <t>Mold release, lubricant</t>
        </is>
      </c>
      <c r="J44" s="3" t="inlineStr">
        <is>
          <t>Bulk</t>
        </is>
      </c>
      <c r="K44" s="3" t="inlineStr">
        <is>
          <t>Fatty Acid Amide</t>
        </is>
      </c>
      <c r="L44" s="3" t="inlineStr">
        <is>
          <t>Polymer processors, molding companies</t>
        </is>
      </c>
      <c r="M44" s="3" t="inlineStr">
        <is>
          <t>Low</t>
        </is>
      </c>
      <c r="N44" s="3" t="inlineStr">
        <is>
          <t>High</t>
        </is>
      </c>
      <c r="O44" s="3" t="inlineStr">
        <is>
          <t>Low</t>
        </is>
      </c>
    </row>
    <row r="45" ht="15.75" customHeight="1" s="19">
      <c r="A45" s="3" t="n">
        <v>39</v>
      </c>
      <c r="B45" s="3" t="inlineStr">
        <is>
          <t>PVC Resin</t>
        </is>
      </c>
      <c r="C45" s="3" t="inlineStr">
        <is>
          <t>Plastic &amp; Rubber</t>
        </is>
      </c>
      <c r="D45" s="3" t="inlineStr">
        <is>
          <t>390410</t>
        </is>
      </c>
      <c r="E45" s="3" t="inlineStr">
        <is>
          <t>Polyvinyl chloride, non-plasticised</t>
        </is>
      </c>
      <c r="F45" s="3" t="inlineStr">
        <is>
          <t>Polymer Resin</t>
        </is>
      </c>
      <c r="G45" s="3" t="inlineStr">
        <is>
          <t>High</t>
        </is>
      </c>
      <c r="H45" s="3" t="inlineStr">
        <is>
          <t>Pipes, profiles, films, cables</t>
        </is>
      </c>
      <c r="I45" s="3" t="inlineStr">
        <is>
          <t>Flooring, bottles</t>
        </is>
      </c>
      <c r="J45" s="3" t="inlineStr">
        <is>
          <t>Bulk</t>
        </is>
      </c>
      <c r="K45" s="3" t="inlineStr">
        <is>
          <t>Vinyl Polymer</t>
        </is>
      </c>
      <c r="L45" s="3" t="inlineStr">
        <is>
          <t>Construction, pipe makers, cable manufacturers</t>
        </is>
      </c>
      <c r="M45" s="3" t="inlineStr">
        <is>
          <t>Low</t>
        </is>
      </c>
      <c r="N45" s="3" t="inlineStr">
        <is>
          <t>High</t>
        </is>
      </c>
      <c r="O45" s="3" t="inlineStr">
        <is>
          <t>Low</t>
        </is>
      </c>
    </row>
    <row r="46" ht="15.75" customHeight="1" s="19">
      <c r="A46" s="3" t="n">
        <v>40</v>
      </c>
      <c r="B46" s="3" t="inlineStr">
        <is>
          <t>PP Resin</t>
        </is>
      </c>
      <c r="C46" s="3" t="inlineStr">
        <is>
          <t>Plastic &amp; Rubber</t>
        </is>
      </c>
      <c r="D46" s="3" t="inlineStr">
        <is>
          <t>390210</t>
        </is>
      </c>
      <c r="E46" s="3" t="inlineStr">
        <is>
          <t>Polypropylene</t>
        </is>
      </c>
      <c r="F46" s="3" t="inlineStr">
        <is>
          <t>Polymer Resin</t>
        </is>
      </c>
      <c r="G46" s="3" t="inlineStr">
        <is>
          <t>High</t>
        </is>
      </c>
      <c r="H46" s="3" t="inlineStr">
        <is>
          <t>Packaging, automotive, textiles</t>
        </is>
      </c>
      <c r="I46" s="3" t="inlineStr">
        <is>
          <t>Furniture, appliances</t>
        </is>
      </c>
      <c r="J46" s="3" t="inlineStr">
        <is>
          <t>Bulk</t>
        </is>
      </c>
      <c r="K46" s="3" t="inlineStr">
        <is>
          <t>Polyolefin</t>
        </is>
      </c>
      <c r="L46" s="3" t="inlineStr">
        <is>
          <t>Packaging companies, automotive OEMs, FMCG</t>
        </is>
      </c>
      <c r="M46" s="3" t="inlineStr">
        <is>
          <t>Low</t>
        </is>
      </c>
      <c r="N46" s="3" t="inlineStr">
        <is>
          <t>High</t>
        </is>
      </c>
      <c r="O46" s="3" t="inlineStr">
        <is>
          <t>Low</t>
        </is>
      </c>
    </row>
    <row r="47" ht="15.75" customHeight="1" s="19">
      <c r="A47" s="3" t="n">
        <v>41</v>
      </c>
      <c r="B47" s="3" t="inlineStr">
        <is>
          <t>HDPE / LDPE</t>
        </is>
      </c>
      <c r="C47" s="3" t="inlineStr">
        <is>
          <t>Plastic &amp; Rubber</t>
        </is>
      </c>
      <c r="D47" s="3" t="inlineStr">
        <is>
          <t>390110</t>
        </is>
      </c>
      <c r="E47" s="3" t="inlineStr">
        <is>
          <t>Polyethylene having a specific gravity &lt; 0.94</t>
        </is>
      </c>
      <c r="F47" s="3" t="inlineStr">
        <is>
          <t>Polymer Resin</t>
        </is>
      </c>
      <c r="G47" s="3" t="inlineStr">
        <is>
          <t>High</t>
        </is>
      </c>
      <c r="H47" s="3" t="inlineStr">
        <is>
          <t>Packaging films, bottles, pipes</t>
        </is>
      </c>
      <c r="I47" s="3" t="inlineStr">
        <is>
          <t>Toys, containers</t>
        </is>
      </c>
      <c r="J47" s="3" t="inlineStr">
        <is>
          <t>Bulk</t>
        </is>
      </c>
      <c r="K47" s="3" t="inlineStr">
        <is>
          <t>Polyolefin</t>
        </is>
      </c>
      <c r="L47" s="3" t="inlineStr">
        <is>
          <t>Packaging companies, pipe makers, FMCG</t>
        </is>
      </c>
      <c r="M47" s="3" t="inlineStr">
        <is>
          <t>Low</t>
        </is>
      </c>
      <c r="N47" s="3" t="inlineStr">
        <is>
          <t>High</t>
        </is>
      </c>
      <c r="O47" s="3" t="inlineStr">
        <is>
          <t>Low</t>
        </is>
      </c>
    </row>
    <row r="48" ht="15.75" customHeight="1" s="19">
      <c r="A48" s="3" t="n">
        <v>42</v>
      </c>
      <c r="B48" s="3" t="inlineStr">
        <is>
          <t>EVA</t>
        </is>
      </c>
      <c r="C48" s="3" t="inlineStr">
        <is>
          <t>Plastic &amp; Rubber</t>
        </is>
      </c>
      <c r="D48" s="3" t="inlineStr">
        <is>
          <t>390230</t>
        </is>
      </c>
      <c r="E48" s="3" t="inlineStr">
        <is>
          <t>Ethylene-vinyl acetate copolymers</t>
        </is>
      </c>
      <c r="F48" s="3" t="inlineStr">
        <is>
          <t>Copolymer Resin</t>
        </is>
      </c>
      <c r="G48" s="3" t="inlineStr">
        <is>
          <t>High</t>
        </is>
      </c>
      <c r="H48" s="3" t="inlineStr">
        <is>
          <t>Footwear, solar encapsulant</t>
        </is>
      </c>
      <c r="I48" s="3" t="inlineStr">
        <is>
          <t>Hot melt adhesives, packaging</t>
        </is>
      </c>
      <c r="J48" s="3" t="inlineStr">
        <is>
          <t>Bulk</t>
        </is>
      </c>
      <c r="K48" s="3" t="inlineStr">
        <is>
          <t>Ethylene Copolymer</t>
        </is>
      </c>
      <c r="L48" s="3" t="inlineStr">
        <is>
          <t>Footwear manufacturers, solar panel makers, adhesive companies</t>
        </is>
      </c>
      <c r="M48" s="3" t="inlineStr">
        <is>
          <t>Medium</t>
        </is>
      </c>
      <c r="N48" s="3" t="inlineStr">
        <is>
          <t>High</t>
        </is>
      </c>
      <c r="O48" s="3" t="inlineStr">
        <is>
          <t>Low</t>
        </is>
      </c>
    </row>
    <row r="49" ht="15.75" customHeight="1" s="19">
      <c r="A49" s="3" t="n">
        <v>43</v>
      </c>
      <c r="B49" s="3" t="inlineStr">
        <is>
          <t>PE Wax</t>
        </is>
      </c>
      <c r="C49" s="3" t="inlineStr">
        <is>
          <t>Plastic &amp; Rubber</t>
        </is>
      </c>
      <c r="D49" s="3" t="inlineStr">
        <is>
          <t>340490</t>
        </is>
      </c>
      <c r="E49" s="3" t="inlineStr">
        <is>
          <t>Artificial waxes and prepared waxes</t>
        </is>
      </c>
      <c r="F49" s="3" t="inlineStr">
        <is>
          <t>Process Aid / Lubricant</t>
        </is>
      </c>
      <c r="G49" s="3" t="inlineStr">
        <is>
          <t>High</t>
        </is>
      </c>
      <c r="H49" s="3" t="inlineStr">
        <is>
          <t>PVC lubricant, masterbatch carrier</t>
        </is>
      </c>
      <c r="I49" s="3" t="inlineStr">
        <is>
          <t>Printing inks, coatings</t>
        </is>
      </c>
      <c r="J49" s="3" t="inlineStr">
        <is>
          <t>Bulk</t>
        </is>
      </c>
      <c r="K49" s="3" t="inlineStr">
        <is>
          <t>Polyethylene Wax</t>
        </is>
      </c>
      <c r="L49" s="3" t="inlineStr">
        <is>
          <t>PVC processors, ink manufacturers, wax blenders</t>
        </is>
      </c>
      <c r="M49" s="3" t="inlineStr">
        <is>
          <t>Low</t>
        </is>
      </c>
      <c r="N49" s="3" t="inlineStr">
        <is>
          <t>High</t>
        </is>
      </c>
      <c r="O49" s="3" t="inlineStr">
        <is>
          <t>Low</t>
        </is>
      </c>
    </row>
    <row r="50" ht="15.75" customHeight="1" s="19">
      <c r="A50" s="11" t="n"/>
      <c r="B50" s="11" t="inlineStr">
        <is>
          <t>▶ Pesticides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</row>
    <row r="51" ht="15.75" customHeight="1" s="19">
      <c r="A51" s="3" t="n">
        <v>44</v>
      </c>
      <c r="B51" s="3" t="inlineStr">
        <is>
          <t>Indoxacarb</t>
        </is>
      </c>
      <c r="C51" s="3" t="inlineStr">
        <is>
          <t>Pesticides</t>
        </is>
      </c>
      <c r="D51" s="3" t="inlineStr">
        <is>
          <t>380892</t>
        </is>
      </c>
      <c r="E51" s="3" t="inlineStr">
        <is>
          <t>Insecticides</t>
        </is>
      </c>
      <c r="F51" s="3" t="inlineStr">
        <is>
          <t>Oxadiazine Insecticide</t>
        </is>
      </c>
      <c r="G51" s="3" t="inlineStr">
        <is>
          <t>High</t>
        </is>
      </c>
      <c r="H51" s="3" t="inlineStr">
        <is>
          <t>Crop protection (lepidoptera)</t>
        </is>
      </c>
      <c r="I51" s="3" t="inlineStr">
        <is>
          <t>Public health pest control</t>
        </is>
      </c>
      <c r="J51" s="3" t="inlineStr">
        <is>
          <t>Active</t>
        </is>
      </c>
      <c r="K51" s="3" t="inlineStr">
        <is>
          <t>Synthetic Insecticide</t>
        </is>
      </c>
      <c r="L51" s="3" t="inlineStr">
        <is>
          <t>Agrochemical formulators, pest control companies</t>
        </is>
      </c>
      <c r="M51" s="3" t="inlineStr">
        <is>
          <t>High</t>
        </is>
      </c>
      <c r="N51" s="3" t="inlineStr">
        <is>
          <t>Medium</t>
        </is>
      </c>
      <c r="O51" s="3" t="inlineStr">
        <is>
          <t>High</t>
        </is>
      </c>
    </row>
    <row r="52" ht="15.75" customHeight="1" s="19">
      <c r="A52" s="3" t="n">
        <v>45</v>
      </c>
      <c r="B52" s="3" t="inlineStr">
        <is>
          <t>Profenofos</t>
        </is>
      </c>
      <c r="C52" s="3" t="inlineStr">
        <is>
          <t>Pesticides</t>
        </is>
      </c>
      <c r="D52" s="3" t="inlineStr">
        <is>
          <t>380892</t>
        </is>
      </c>
      <c r="E52" s="3" t="inlineStr">
        <is>
          <t>Insecticides</t>
        </is>
      </c>
      <c r="F52" s="3" t="inlineStr">
        <is>
          <t>Organophosphate Insecticide</t>
        </is>
      </c>
      <c r="G52" s="3" t="inlineStr">
        <is>
          <t>High</t>
        </is>
      </c>
      <c r="H52" s="3" t="inlineStr">
        <is>
          <t>Cotton pest control</t>
        </is>
      </c>
      <c r="I52" s="3" t="inlineStr">
        <is>
          <t>Vegetable crop protection</t>
        </is>
      </c>
      <c r="J52" s="3" t="inlineStr">
        <is>
          <t>Active</t>
        </is>
      </c>
      <c r="K52" s="3" t="inlineStr">
        <is>
          <t>Organophosphorus Insecticide</t>
        </is>
      </c>
      <c r="L52" s="3" t="inlineStr">
        <is>
          <t>Agrochemical formulators, cotton farmers</t>
        </is>
      </c>
      <c r="M52" s="3" t="inlineStr">
        <is>
          <t>Medium</t>
        </is>
      </c>
      <c r="N52" s="3" t="inlineStr">
        <is>
          <t>Medium</t>
        </is>
      </c>
      <c r="O52" s="3" t="inlineStr">
        <is>
          <t>Medium</t>
        </is>
      </c>
    </row>
    <row r="53" ht="15.75" customHeight="1" s="19">
      <c r="A53" s="3" t="n">
        <v>46</v>
      </c>
      <c r="B53" s="3" t="inlineStr">
        <is>
          <t>Cypermethrin</t>
        </is>
      </c>
      <c r="C53" s="3" t="inlineStr">
        <is>
          <t>Pesticides</t>
        </is>
      </c>
      <c r="D53" s="3" t="inlineStr">
        <is>
          <t>380892</t>
        </is>
      </c>
      <c r="E53" s="3" t="inlineStr">
        <is>
          <t>Insecticides</t>
        </is>
      </c>
      <c r="F53" s="3" t="inlineStr">
        <is>
          <t>Pyrethroid Insecticide</t>
        </is>
      </c>
      <c r="G53" s="3" t="inlineStr">
        <is>
          <t>High</t>
        </is>
      </c>
      <c r="H53" s="3" t="inlineStr">
        <is>
          <t>Crop protection, public health</t>
        </is>
      </c>
      <c r="I53" s="3" t="inlineStr">
        <is>
          <t>Household insecticides</t>
        </is>
      </c>
      <c r="J53" s="3" t="inlineStr">
        <is>
          <t>Bulk</t>
        </is>
      </c>
      <c r="K53" s="3" t="inlineStr">
        <is>
          <t>Synthetic Pyrethroid</t>
        </is>
      </c>
      <c r="L53" s="3" t="inlineStr">
        <is>
          <t>Agrochemical companies, public health programs</t>
        </is>
      </c>
      <c r="M53" s="3" t="inlineStr">
        <is>
          <t>Low</t>
        </is>
      </c>
      <c r="N53" s="3" t="inlineStr">
        <is>
          <t>High</t>
        </is>
      </c>
      <c r="O53" s="3" t="inlineStr">
        <is>
          <t>Low</t>
        </is>
      </c>
    </row>
    <row r="54" ht="15.75" customHeight="1" s="19">
      <c r="A54" s="3" t="n">
        <v>47</v>
      </c>
      <c r="B54" s="3" t="inlineStr">
        <is>
          <t>Abamectin</t>
        </is>
      </c>
      <c r="C54" s="3" t="inlineStr">
        <is>
          <t>Pesticides</t>
        </is>
      </c>
      <c r="D54" s="3" t="inlineStr">
        <is>
          <t>380892</t>
        </is>
      </c>
      <c r="E54" s="3" t="inlineStr">
        <is>
          <t>Insecticides</t>
        </is>
      </c>
      <c r="F54" s="3" t="inlineStr">
        <is>
          <t>Avermectin Insecticide/Miticide</t>
        </is>
      </c>
      <c r="G54" s="3" t="inlineStr">
        <is>
          <t>High</t>
        </is>
      </c>
      <c r="H54" s="3" t="inlineStr">
        <is>
          <t>Crop protection (mites, leafminers)</t>
        </is>
      </c>
      <c r="I54" s="3" t="inlineStr">
        <is>
          <t>Veterinary parasiticide</t>
        </is>
      </c>
      <c r="J54" s="3" t="inlineStr">
        <is>
          <t>Active</t>
        </is>
      </c>
      <c r="K54" s="3" t="inlineStr">
        <is>
          <t>Macrocyclic Lactone</t>
        </is>
      </c>
      <c r="L54" s="3" t="inlineStr">
        <is>
          <t>Agrochemical formulators, horticulture</t>
        </is>
      </c>
      <c r="M54" s="3" t="inlineStr">
        <is>
          <t>High</t>
        </is>
      </c>
      <c r="N54" s="3" t="inlineStr">
        <is>
          <t>Medium</t>
        </is>
      </c>
      <c r="O54" s="3" t="inlineStr">
        <is>
          <t>High</t>
        </is>
      </c>
    </row>
    <row r="55" ht="15.75" customHeight="1" s="19">
      <c r="A55" s="3" t="n">
        <v>48</v>
      </c>
      <c r="B55" s="3" t="inlineStr">
        <is>
          <t>Mancozeb</t>
        </is>
      </c>
      <c r="C55" s="3" t="inlineStr">
        <is>
          <t>Pesticides</t>
        </is>
      </c>
      <c r="D55" s="3" t="inlineStr">
        <is>
          <t>380892</t>
        </is>
      </c>
      <c r="E55" s="3" t="inlineStr">
        <is>
          <t>Fungicides</t>
        </is>
      </c>
      <c r="F55" s="3" t="inlineStr">
        <is>
          <t>Dithiocarbamate Fungicide</t>
        </is>
      </c>
      <c r="G55" s="3" t="inlineStr">
        <is>
          <t>High</t>
        </is>
      </c>
      <c r="H55" s="3" t="inlineStr">
        <is>
          <t>Broad-spectrum crop fungicide</t>
        </is>
      </c>
      <c r="I55" s="3" t="inlineStr">
        <is>
          <t>Seed treatment</t>
        </is>
      </c>
      <c r="J55" s="3" t="inlineStr">
        <is>
          <t>Bulk</t>
        </is>
      </c>
      <c r="K55" s="3" t="inlineStr">
        <is>
          <t>Organosulfur Fungicide</t>
        </is>
      </c>
      <c r="L55" s="3" t="inlineStr">
        <is>
          <t>Agrochemical companies, seed treatment firms</t>
        </is>
      </c>
      <c r="M55" s="3" t="inlineStr">
        <is>
          <t>Low</t>
        </is>
      </c>
      <c r="N55" s="3" t="inlineStr">
        <is>
          <t>High</t>
        </is>
      </c>
      <c r="O55" s="3" t="inlineStr">
        <is>
          <t>Low</t>
        </is>
      </c>
    </row>
    <row r="56" ht="15.75" customHeight="1" s="19">
      <c r="A56" s="3" t="n">
        <v>49</v>
      </c>
      <c r="B56" s="3" t="inlineStr">
        <is>
          <t>Fipronil</t>
        </is>
      </c>
      <c r="C56" s="3" t="inlineStr">
        <is>
          <t>Pesticides</t>
        </is>
      </c>
      <c r="D56" s="3" t="inlineStr">
        <is>
          <t>380892</t>
        </is>
      </c>
      <c r="E56" s="3" t="inlineStr">
        <is>
          <t>Insecticides</t>
        </is>
      </c>
      <c r="F56" s="3" t="inlineStr">
        <is>
          <t>Phenylpyrazole Insecticide</t>
        </is>
      </c>
      <c r="G56" s="3" t="inlineStr">
        <is>
          <t>High</t>
        </is>
      </c>
      <c r="H56" s="3" t="inlineStr">
        <is>
          <t>Soil &amp; seed treatment</t>
        </is>
      </c>
      <c r="I56" s="3" t="inlineStr">
        <is>
          <t>Veterinary (flea/tick)</t>
        </is>
      </c>
      <c r="J56" s="3" t="inlineStr">
        <is>
          <t>Active</t>
        </is>
      </c>
      <c r="K56" s="3" t="inlineStr">
        <is>
          <t>Phenylpyrazole</t>
        </is>
      </c>
      <c r="L56" s="3" t="inlineStr">
        <is>
          <t>Agrochemical formulators, veterinary pharma</t>
        </is>
      </c>
      <c r="M56" s="3" t="inlineStr">
        <is>
          <t>High</t>
        </is>
      </c>
      <c r="N56" s="3" t="inlineStr">
        <is>
          <t>Medium</t>
        </is>
      </c>
      <c r="O56" s="3" t="inlineStr">
        <is>
          <t>High</t>
        </is>
      </c>
    </row>
    <row r="57" ht="15.75" customHeight="1" s="19">
      <c r="A57" s="3" t="n">
        <v>50</v>
      </c>
      <c r="B57" s="3" t="inlineStr">
        <is>
          <t>Glyphosate</t>
        </is>
      </c>
      <c r="C57" s="3" t="inlineStr">
        <is>
          <t>Pesticides</t>
        </is>
      </c>
      <c r="D57" s="3" t="inlineStr">
        <is>
          <t>380891</t>
        </is>
      </c>
      <c r="E57" s="3" t="inlineStr">
        <is>
          <t>Herbicides</t>
        </is>
      </c>
      <c r="F57" s="3" t="inlineStr">
        <is>
          <t>Non-selective Herbicide</t>
        </is>
      </c>
      <c r="G57" s="3" t="inlineStr">
        <is>
          <t>High</t>
        </is>
      </c>
      <c r="H57" s="3" t="inlineStr">
        <is>
          <t>Weed control (pre-plant, non-crop)</t>
        </is>
      </c>
      <c r="I57" s="3" t="inlineStr">
        <is>
          <t>GMO crop systems</t>
        </is>
      </c>
      <c r="J57" s="3" t="inlineStr">
        <is>
          <t>Bulk</t>
        </is>
      </c>
      <c r="K57" s="3" t="inlineStr">
        <is>
          <t>Organophosphorus Herbicide</t>
        </is>
      </c>
      <c r="L57" s="3" t="inlineStr">
        <is>
          <t>Agrochemical companies, plantation estates, farmers</t>
        </is>
      </c>
      <c r="M57" s="3" t="inlineStr">
        <is>
          <t>Low</t>
        </is>
      </c>
      <c r="N57" s="3" t="inlineStr">
        <is>
          <t>High</t>
        </is>
      </c>
      <c r="O57" s="3" t="inlineStr">
        <is>
          <t>Low</t>
        </is>
      </c>
    </row>
    <row r="58" ht="15.75" customHeight="1" s="19">
      <c r="A58" s="3" t="n">
        <v>51</v>
      </c>
      <c r="B58" s="3" t="inlineStr">
        <is>
          <t>Glufosinate</t>
        </is>
      </c>
      <c r="C58" s="3" t="inlineStr">
        <is>
          <t>Pesticides</t>
        </is>
      </c>
      <c r="D58" s="3" t="inlineStr">
        <is>
          <t>380891</t>
        </is>
      </c>
      <c r="E58" s="3" t="inlineStr">
        <is>
          <t>Herbicides</t>
        </is>
      </c>
      <c r="F58" s="3" t="inlineStr">
        <is>
          <t>Non-selective Herbicide</t>
        </is>
      </c>
      <c r="G58" s="3" t="inlineStr">
        <is>
          <t>High</t>
        </is>
      </c>
      <c r="H58" s="3" t="inlineStr">
        <is>
          <t>Weed control (alternative to glyphosate)</t>
        </is>
      </c>
      <c r="I58" s="3" t="inlineStr">
        <is>
          <t>GM crop tolerance systems</t>
        </is>
      </c>
      <c r="J58" s="3" t="inlineStr">
        <is>
          <t>Bulk</t>
        </is>
      </c>
      <c r="K58" s="3" t="inlineStr">
        <is>
          <t>Amino Acid Herbicide</t>
        </is>
      </c>
      <c r="L58" s="3" t="inlineStr">
        <is>
          <t>Agrochemical companies, plantation estates</t>
        </is>
      </c>
      <c r="M58" s="3" t="inlineStr">
        <is>
          <t>Medium</t>
        </is>
      </c>
      <c r="N58" s="3" t="inlineStr">
        <is>
          <t>Medium</t>
        </is>
      </c>
      <c r="O58" s="3" t="inlineStr">
        <is>
          <t>Medium</t>
        </is>
      </c>
    </row>
    <row r="59" ht="15.75" customHeight="1" s="19">
      <c r="A59" s="3" t="n">
        <v>52</v>
      </c>
      <c r="B59" s="3" t="inlineStr">
        <is>
          <t>Paraquat</t>
        </is>
      </c>
      <c r="C59" s="3" t="inlineStr">
        <is>
          <t>Pesticides</t>
        </is>
      </c>
      <c r="D59" s="3" t="inlineStr">
        <is>
          <t>380891</t>
        </is>
      </c>
      <c r="E59" s="3" t="inlineStr">
        <is>
          <t>Herbicides</t>
        </is>
      </c>
      <c r="F59" s="3" t="inlineStr">
        <is>
          <t>Contact Herbicide</t>
        </is>
      </c>
      <c r="G59" s="3" t="inlineStr">
        <is>
          <t>High</t>
        </is>
      </c>
      <c r="H59" s="3" t="inlineStr">
        <is>
          <t>Rapid weed desiccation</t>
        </is>
      </c>
      <c r="I59" s="3" t="inlineStr">
        <is>
          <t>Plantation weed management</t>
        </is>
      </c>
      <c r="J59" s="3" t="inlineStr">
        <is>
          <t>Bulk</t>
        </is>
      </c>
      <c r="K59" s="3" t="inlineStr">
        <is>
          <t>Bipyridinium Herbicide</t>
        </is>
      </c>
      <c r="L59" s="3" t="inlineStr">
        <is>
          <t>Plantation companies, agrochemical formulators</t>
        </is>
      </c>
      <c r="M59" s="3" t="inlineStr">
        <is>
          <t>Low</t>
        </is>
      </c>
      <c r="N59" s="3" t="inlineStr">
        <is>
          <t>High</t>
        </is>
      </c>
      <c r="O59" s="3" t="inlineStr">
        <is>
          <t>Low</t>
        </is>
      </c>
    </row>
    <row r="60" ht="15.75" customHeight="1" s="19">
      <c r="A60" s="3" t="n">
        <v>53</v>
      </c>
      <c r="B60" s="3" t="inlineStr">
        <is>
          <t>Chlorantraniliprole (CTPR)</t>
        </is>
      </c>
      <c r="C60" s="3" t="inlineStr">
        <is>
          <t>Pesticides</t>
        </is>
      </c>
      <c r="D60" s="3" t="inlineStr">
        <is>
          <t>380892</t>
        </is>
      </c>
      <c r="E60" s="3" t="inlineStr">
        <is>
          <t>Insecticides</t>
        </is>
      </c>
      <c r="F60" s="3" t="inlineStr">
        <is>
          <t>Diamide Insecticide</t>
        </is>
      </c>
      <c r="G60" s="3" t="inlineStr">
        <is>
          <t>High</t>
        </is>
      </c>
      <c r="H60" s="3" t="inlineStr">
        <is>
          <t>Lepidoptera control in rice, vegetables</t>
        </is>
      </c>
      <c r="I60" s="3" t="inlineStr">
        <is>
          <t>Turf &amp; ornamental pest control</t>
        </is>
      </c>
      <c r="J60" s="3" t="inlineStr">
        <is>
          <t>Active</t>
        </is>
      </c>
      <c r="K60" s="3" t="inlineStr">
        <is>
          <t>Anthranilic Diamide</t>
        </is>
      </c>
      <c r="L60" s="3" t="inlineStr">
        <is>
          <t>Agrochemical formulators, rice farmers</t>
        </is>
      </c>
      <c r="M60" s="3" t="inlineStr">
        <is>
          <t>High</t>
        </is>
      </c>
      <c r="N60" s="3" t="inlineStr">
        <is>
          <t>Medium</t>
        </is>
      </c>
      <c r="O60" s="3" t="inlineStr">
        <is>
          <t>High</t>
        </is>
      </c>
    </row>
    <row r="61" ht="15.75" customHeight="1" s="19">
      <c r="A61" s="3" t="n">
        <v>54</v>
      </c>
      <c r="B61" s="3" t="inlineStr">
        <is>
          <t>Emamectin</t>
        </is>
      </c>
      <c r="C61" s="3" t="inlineStr">
        <is>
          <t>Pesticides</t>
        </is>
      </c>
      <c r="D61" s="3" t="inlineStr">
        <is>
          <t>380892</t>
        </is>
      </c>
      <c r="E61" s="3" t="inlineStr">
        <is>
          <t>Insecticides</t>
        </is>
      </c>
      <c r="F61" s="3" t="inlineStr">
        <is>
          <t>Avermectin Insecticide</t>
        </is>
      </c>
      <c r="G61" s="3" t="inlineStr">
        <is>
          <t>High</t>
        </is>
      </c>
      <c r="H61" s="3" t="inlineStr">
        <is>
          <t>Lepidoptera &amp; thrips control</t>
        </is>
      </c>
      <c r="I61" s="3" t="inlineStr">
        <is>
          <t>Aquaculture parasiticide</t>
        </is>
      </c>
      <c r="J61" s="3" t="inlineStr">
        <is>
          <t>Active</t>
        </is>
      </c>
      <c r="K61" s="3" t="inlineStr">
        <is>
          <t>Semi-synthetic Avermectin</t>
        </is>
      </c>
      <c r="L61" s="3" t="inlineStr">
        <is>
          <t>Agrochemical companies, aquaculture</t>
        </is>
      </c>
      <c r="M61" s="3" t="inlineStr">
        <is>
          <t>High</t>
        </is>
      </c>
      <c r="N61" s="3" t="inlineStr">
        <is>
          <t>Medium</t>
        </is>
      </c>
      <c r="O61" s="3" t="inlineStr">
        <is>
          <t>High</t>
        </is>
      </c>
    </row>
    <row r="62" ht="15.75" customHeight="1" s="19">
      <c r="A62" s="3" t="n">
        <v>55</v>
      </c>
      <c r="B62" s="3" t="inlineStr">
        <is>
          <t>Azoxystrobin</t>
        </is>
      </c>
      <c r="C62" s="3" t="inlineStr">
        <is>
          <t>Pesticides</t>
        </is>
      </c>
      <c r="D62" s="3" t="inlineStr">
        <is>
          <t>380892</t>
        </is>
      </c>
      <c r="E62" s="3" t="inlineStr">
        <is>
          <t>Fungicides</t>
        </is>
      </c>
      <c r="F62" s="3" t="inlineStr">
        <is>
          <t>Strobilurin Fungicide</t>
        </is>
      </c>
      <c r="G62" s="3" t="inlineStr">
        <is>
          <t>High</t>
        </is>
      </c>
      <c r="H62" s="3" t="inlineStr">
        <is>
          <t>Broad-spectrum crop fungicide</t>
        </is>
      </c>
      <c r="I62" s="3" t="inlineStr">
        <is>
          <t>Turf disease control</t>
        </is>
      </c>
      <c r="J62" s="3" t="inlineStr">
        <is>
          <t>Active</t>
        </is>
      </c>
      <c r="K62" s="3" t="inlineStr">
        <is>
          <t>Strobilurin</t>
        </is>
      </c>
      <c r="L62" s="3" t="inlineStr">
        <is>
          <t>Agrochemical formulators, golf course management</t>
        </is>
      </c>
      <c r="M62" s="3" t="inlineStr">
        <is>
          <t>High</t>
        </is>
      </c>
      <c r="N62" s="3" t="inlineStr">
        <is>
          <t>Medium</t>
        </is>
      </c>
      <c r="O62" s="3" t="inlineStr">
        <is>
          <t>High</t>
        </is>
      </c>
    </row>
    <row r="63" ht="15.75" customHeight="1" s="19">
      <c r="A63" s="3" t="n">
        <v>56</v>
      </c>
      <c r="B63" s="3" t="inlineStr">
        <is>
          <t>Difenconazole</t>
        </is>
      </c>
      <c r="C63" s="3" t="inlineStr">
        <is>
          <t>Pesticides</t>
        </is>
      </c>
      <c r="D63" s="3" t="inlineStr">
        <is>
          <t>380892</t>
        </is>
      </c>
      <c r="E63" s="3" t="inlineStr">
        <is>
          <t>Fungicides</t>
        </is>
      </c>
      <c r="F63" s="3" t="inlineStr">
        <is>
          <t>Triazole Fungicide</t>
        </is>
      </c>
      <c r="G63" s="3" t="inlineStr">
        <is>
          <t>High</t>
        </is>
      </c>
      <c r="H63" s="3" t="inlineStr">
        <is>
          <t>Seed treatment, foliar fungicide</t>
        </is>
      </c>
      <c r="I63" s="3" t="inlineStr">
        <is>
          <t>Fruit &amp; vegetable protection</t>
        </is>
      </c>
      <c r="J63" s="3" t="inlineStr">
        <is>
          <t>Active</t>
        </is>
      </c>
      <c r="K63" s="3" t="inlineStr">
        <is>
          <t>Triazole Fungicide</t>
        </is>
      </c>
      <c r="L63" s="3" t="inlineStr">
        <is>
          <t>Agrochemical companies, seed treatment firms</t>
        </is>
      </c>
      <c r="M63" s="3" t="inlineStr">
        <is>
          <t>Medium</t>
        </is>
      </c>
      <c r="N63" s="3" t="inlineStr">
        <is>
          <t>Medium</t>
        </is>
      </c>
      <c r="O63" s="3" t="inlineStr">
        <is>
          <t>Medium</t>
        </is>
      </c>
    </row>
    <row r="64" ht="15.75" customHeight="1" s="19">
      <c r="A64" s="3" t="n">
        <v>57</v>
      </c>
      <c r="B64" s="3" t="inlineStr">
        <is>
          <t>Chlorfenapyr</t>
        </is>
      </c>
      <c r="C64" s="3" t="inlineStr">
        <is>
          <t>Pesticides</t>
        </is>
      </c>
      <c r="D64" s="3" t="inlineStr">
        <is>
          <t>380892</t>
        </is>
      </c>
      <c r="E64" s="3" t="inlineStr">
        <is>
          <t>Insecticides</t>
        </is>
      </c>
      <c r="F64" s="3" t="inlineStr">
        <is>
          <t>Pyrrole Insecticide/Miticide</t>
        </is>
      </c>
      <c r="G64" s="3" t="inlineStr">
        <is>
          <t>High</t>
        </is>
      </c>
      <c r="H64" s="3" t="inlineStr">
        <is>
          <t>Resistant pest management</t>
        </is>
      </c>
      <c r="I64" s="3" t="inlineStr">
        <is>
          <t>Public health (bedbugs)</t>
        </is>
      </c>
      <c r="J64" s="3" t="inlineStr">
        <is>
          <t>Active</t>
        </is>
      </c>
      <c r="K64" s="3" t="inlineStr">
        <is>
          <t>Pro-insecticide</t>
        </is>
      </c>
      <c r="L64" s="3" t="inlineStr">
        <is>
          <t>Agrochemical formulators, pest control services</t>
        </is>
      </c>
      <c r="M64" s="3" t="inlineStr">
        <is>
          <t>High</t>
        </is>
      </c>
      <c r="N64" s="3" t="inlineStr">
        <is>
          <t>Low</t>
        </is>
      </c>
      <c r="O64" s="3" t="inlineStr">
        <is>
          <t>High</t>
        </is>
      </c>
    </row>
    <row r="65" ht="15.75" customHeight="1" s="19">
      <c r="A65" s="3" t="n">
        <v>58</v>
      </c>
      <c r="B65" s="3" t="inlineStr">
        <is>
          <t>Acephate</t>
        </is>
      </c>
      <c r="C65" s="3" t="inlineStr">
        <is>
          <t>Pesticides</t>
        </is>
      </c>
      <c r="D65" s="3" t="inlineStr">
        <is>
          <t>380892</t>
        </is>
      </c>
      <c r="E65" s="3" t="inlineStr">
        <is>
          <t>Insecticides</t>
        </is>
      </c>
      <c r="F65" s="3" t="inlineStr">
        <is>
          <t>Organophosphate Insecticide</t>
        </is>
      </c>
      <c r="G65" s="3" t="inlineStr">
        <is>
          <t>High</t>
        </is>
      </c>
      <c r="H65" s="3" t="inlineStr">
        <is>
          <t>Cotton, soybean pest control</t>
        </is>
      </c>
      <c r="I65" s="3" t="inlineStr">
        <is>
          <t>Systemic insecticide</t>
        </is>
      </c>
      <c r="J65" s="3" t="inlineStr">
        <is>
          <t>Bulk</t>
        </is>
      </c>
      <c r="K65" s="3" t="inlineStr">
        <is>
          <t>Organophosphate</t>
        </is>
      </c>
      <c r="L65" s="3" t="inlineStr">
        <is>
          <t>Agrochemical companies, cotton farmers</t>
        </is>
      </c>
      <c r="M65" s="3" t="inlineStr">
        <is>
          <t>Low</t>
        </is>
      </c>
      <c r="N65" s="3" t="inlineStr">
        <is>
          <t>High</t>
        </is>
      </c>
      <c r="O65" s="3" t="inlineStr">
        <is>
          <t>Low</t>
        </is>
      </c>
    </row>
    <row r="66" ht="15.75" customHeight="1" s="19">
      <c r="A66" s="3" t="n">
        <v>59</v>
      </c>
      <c r="B66" s="3" t="inlineStr">
        <is>
          <t>Propineb</t>
        </is>
      </c>
      <c r="C66" s="3" t="inlineStr">
        <is>
          <t>Pesticides</t>
        </is>
      </c>
      <c r="D66" s="3" t="inlineStr">
        <is>
          <t>380892</t>
        </is>
      </c>
      <c r="E66" s="3" t="inlineStr">
        <is>
          <t>Fungicides</t>
        </is>
      </c>
      <c r="F66" s="3" t="inlineStr">
        <is>
          <t>Dithiocarbamate Fungicide</t>
        </is>
      </c>
      <c r="G66" s="3" t="inlineStr">
        <is>
          <t>High</t>
        </is>
      </c>
      <c r="H66" s="3" t="inlineStr">
        <is>
          <t>Vegetable &amp; fruit fungicide</t>
        </is>
      </c>
      <c r="I66" s="3" t="inlineStr">
        <is>
          <t>Ornamental crop protection</t>
        </is>
      </c>
      <c r="J66" s="3" t="inlineStr">
        <is>
          <t>Bulk</t>
        </is>
      </c>
      <c r="K66" s="3" t="inlineStr">
        <is>
          <t>Zinc Dithiocarbamate</t>
        </is>
      </c>
      <c r="L66" s="3" t="inlineStr">
        <is>
          <t>Agrochemical companies, horticulture</t>
        </is>
      </c>
      <c r="M66" s="3" t="inlineStr">
        <is>
          <t>Medium</t>
        </is>
      </c>
      <c r="N66" s="3" t="inlineStr">
        <is>
          <t>Medium</t>
        </is>
      </c>
      <c r="O66" s="3" t="inlineStr">
        <is>
          <t>Medium</t>
        </is>
      </c>
    </row>
    <row r="67" ht="15.75" customHeight="1" s="19">
      <c r="A67" s="3" t="n">
        <v>60</v>
      </c>
      <c r="B67" s="3" t="inlineStr">
        <is>
          <t>Fentin Acetate</t>
        </is>
      </c>
      <c r="C67" s="3" t="inlineStr">
        <is>
          <t>Pesticides</t>
        </is>
      </c>
      <c r="D67" s="3" t="inlineStr">
        <is>
          <t>380892</t>
        </is>
      </c>
      <c r="E67" s="3" t="inlineStr">
        <is>
          <t>Fungicides</t>
        </is>
      </c>
      <c r="F67" s="3" t="inlineStr">
        <is>
          <t>Organotin Fungicide</t>
        </is>
      </c>
      <c r="G67" s="3" t="inlineStr">
        <is>
          <t>High</t>
        </is>
      </c>
      <c r="H67" s="3" t="inlineStr">
        <is>
          <t>Sugar beet, potato fungicide</t>
        </is>
      </c>
      <c r="I67" s="3" t="inlineStr">
        <is>
          <t>Antifouling paints</t>
        </is>
      </c>
      <c r="J67" s="3" t="inlineStr">
        <is>
          <t>Active</t>
        </is>
      </c>
      <c r="K67" s="3" t="inlineStr">
        <is>
          <t>Organotin Compound</t>
        </is>
      </c>
      <c r="L67" s="3" t="inlineStr">
        <is>
          <t>Agrochemical companies, marine coatings</t>
        </is>
      </c>
      <c r="M67" s="3" t="inlineStr">
        <is>
          <t>High</t>
        </is>
      </c>
      <c r="N67" s="3" t="inlineStr">
        <is>
          <t>Low</t>
        </is>
      </c>
      <c r="O67" s="3" t="inlineStr">
        <is>
          <t>High</t>
        </is>
      </c>
    </row>
    <row r="68" hidden="1" ht="15.75" customHeight="1" s="19">
      <c r="A68" s="11" t="n"/>
      <c r="B68" s="11" t="inlineStr">
        <is>
          <t>▶ Fertilizer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</row>
    <row r="69" hidden="1" ht="15.75" customHeight="1" s="19">
      <c r="A69" s="3" t="n">
        <v>61</v>
      </c>
      <c r="B69" s="3" t="inlineStr">
        <is>
          <t>Borate (Fertilizer Grade)</t>
        </is>
      </c>
      <c r="C69" s="3" t="inlineStr">
        <is>
          <t>Fertilizer</t>
        </is>
      </c>
      <c r="D69" s="3" t="inlineStr">
        <is>
          <t>310590</t>
        </is>
      </c>
      <c r="E69" s="3" t="inlineStr">
        <is>
          <t>Other mineral or chemical fertilisers</t>
        </is>
      </c>
      <c r="F69" s="3" t="inlineStr">
        <is>
          <t>Micronutrient Fertilizer</t>
        </is>
      </c>
      <c r="G69" s="3" t="inlineStr">
        <is>
          <t>High</t>
        </is>
      </c>
      <c r="H69" s="3" t="inlineStr">
        <is>
          <t>Boron deficiency correction in crops</t>
        </is>
      </c>
      <c r="I69" s="3" t="inlineStr">
        <is>
          <t>Soil amendment</t>
        </is>
      </c>
      <c r="J69" s="3" t="inlineStr">
        <is>
          <t>Bulk</t>
        </is>
      </c>
      <c r="K69" s="3" t="inlineStr">
        <is>
          <t>Boron Compound</t>
        </is>
      </c>
      <c r="L69" s="3" t="inlineStr">
        <is>
          <t>Fertilizer blenders, plantation companies, farmers</t>
        </is>
      </c>
      <c r="M69" s="3" t="inlineStr">
        <is>
          <t>Low</t>
        </is>
      </c>
      <c r="N69" s="3" t="inlineStr">
        <is>
          <t>High</t>
        </is>
      </c>
      <c r="O69" s="3" t="inlineStr">
        <is>
          <t>Low</t>
        </is>
      </c>
    </row>
    <row r="70" hidden="1" ht="15.75" customHeight="1" s="19">
      <c r="A70" s="3" t="n">
        <v>62</v>
      </c>
      <c r="B70" s="3" t="inlineStr">
        <is>
          <t>Copper Sulphate (Fertilizer)</t>
        </is>
      </c>
      <c r="C70" s="3" t="inlineStr">
        <is>
          <t>Fertilizer</t>
        </is>
      </c>
      <c r="D70" s="3" t="inlineStr">
        <is>
          <t>310590</t>
        </is>
      </c>
      <c r="E70" s="3" t="inlineStr">
        <is>
          <t>Other mineral or chemical fertilisers</t>
        </is>
      </c>
      <c r="F70" s="3" t="inlineStr">
        <is>
          <t>Micronutrient Fertilizer</t>
        </is>
      </c>
      <c r="G70" s="3" t="inlineStr">
        <is>
          <t>High</t>
        </is>
      </c>
      <c r="H70" s="3" t="inlineStr">
        <is>
          <t>Copper deficiency correction</t>
        </is>
      </c>
      <c r="I70" s="3" t="inlineStr">
        <is>
          <t>Algae control in ponds</t>
        </is>
      </c>
      <c r="J70" s="3" t="inlineStr">
        <is>
          <t>Bulk</t>
        </is>
      </c>
      <c r="K70" s="3" t="inlineStr">
        <is>
          <t>Copper Salt</t>
        </is>
      </c>
      <c r="L70" s="3" t="inlineStr">
        <is>
          <t>Fertilizer blenders, aquaculture, farmers</t>
        </is>
      </c>
      <c r="M70" s="3" t="inlineStr">
        <is>
          <t>Low</t>
        </is>
      </c>
      <c r="N70" s="3" t="inlineStr">
        <is>
          <t>High</t>
        </is>
      </c>
      <c r="O70" s="3" t="inlineStr">
        <is>
          <t>Low</t>
        </is>
      </c>
    </row>
    <row r="71" hidden="1" ht="15.75" customHeight="1" s="19">
      <c r="A71" s="3" t="n">
        <v>63</v>
      </c>
      <c r="B71" s="3" t="inlineStr">
        <is>
          <t>Zinc Sulphate</t>
        </is>
      </c>
      <c r="C71" s="3" t="inlineStr">
        <is>
          <t>Fertilizer</t>
        </is>
      </c>
      <c r="D71" s="3" t="inlineStr">
        <is>
          <t>283329</t>
        </is>
      </c>
      <c r="E71" s="3" t="inlineStr">
        <is>
          <t>Other sulphates</t>
        </is>
      </c>
      <c r="F71" s="3" t="inlineStr">
        <is>
          <t>Micronutrient Fertilizer</t>
        </is>
      </c>
      <c r="G71" s="3" t="inlineStr">
        <is>
          <t>High</t>
        </is>
      </c>
      <c r="H71" s="3" t="inlineStr">
        <is>
          <t>Zinc deficiency correction (rice, wheat)</t>
        </is>
      </c>
      <c r="I71" s="3" t="inlineStr">
        <is>
          <t>Pharma (zinc supplement)</t>
        </is>
      </c>
      <c r="J71" s="3" t="inlineStr">
        <is>
          <t>Bulk</t>
        </is>
      </c>
      <c r="K71" s="3" t="inlineStr">
        <is>
          <t>Zinc Salt</t>
        </is>
      </c>
      <c r="L71" s="3" t="inlineStr">
        <is>
          <t>Fertilizer blenders, pharma companies, farmers</t>
        </is>
      </c>
      <c r="M71" s="3" t="inlineStr">
        <is>
          <t>Low</t>
        </is>
      </c>
      <c r="N71" s="3" t="inlineStr">
        <is>
          <t>High</t>
        </is>
      </c>
      <c r="O71" s="3" t="inlineStr">
        <is>
          <t>Low</t>
        </is>
      </c>
    </row>
    <row r="72" hidden="1" ht="15.75" customHeight="1" s="19">
      <c r="A72" s="3" t="n">
        <v>64</v>
      </c>
      <c r="B72" s="3" t="inlineStr">
        <is>
          <t>Ferrous Sulphate (Fertilizer)</t>
        </is>
      </c>
      <c r="C72" s="3" t="inlineStr">
        <is>
          <t>Fertilizer</t>
        </is>
      </c>
      <c r="D72" s="3" t="inlineStr">
        <is>
          <t>283324</t>
        </is>
      </c>
      <c r="E72" s="3" t="inlineStr">
        <is>
          <t>Iron sulphates</t>
        </is>
      </c>
      <c r="F72" s="3" t="inlineStr">
        <is>
          <t>Iron Supplement / Fertilizer</t>
        </is>
      </c>
      <c r="G72" s="3" t="inlineStr">
        <is>
          <t>High</t>
        </is>
      </c>
      <c r="H72" s="3" t="inlineStr">
        <is>
          <t>Iron deficiency correction</t>
        </is>
      </c>
      <c r="I72" s="3" t="inlineStr">
        <is>
          <t>Water treatment coagulant</t>
        </is>
      </c>
      <c r="J72" s="3" t="inlineStr">
        <is>
          <t>Bulk</t>
        </is>
      </c>
      <c r="K72" s="3" t="inlineStr">
        <is>
          <t>Iron Salt</t>
        </is>
      </c>
      <c r="L72" s="3" t="inlineStr">
        <is>
          <t>Fertilizer blenders, water treatment plants</t>
        </is>
      </c>
      <c r="M72" s="3" t="inlineStr">
        <is>
          <t>Low</t>
        </is>
      </c>
      <c r="N72" s="3" t="inlineStr">
        <is>
          <t>High</t>
        </is>
      </c>
      <c r="O72" s="3" t="inlineStr">
        <is>
          <t>Low</t>
        </is>
      </c>
    </row>
    <row r="73" hidden="1" ht="15.75" customHeight="1" s="19">
      <c r="A73" s="3" t="n">
        <v>65</v>
      </c>
      <c r="B73" s="3" t="inlineStr">
        <is>
          <t>NPK 15:15:15</t>
        </is>
      </c>
      <c r="C73" s="3" t="inlineStr">
        <is>
          <t>Fertilizer</t>
        </is>
      </c>
      <c r="D73" s="3" t="inlineStr">
        <is>
          <t>310520</t>
        </is>
      </c>
      <c r="E73" s="3" t="inlineStr">
        <is>
          <t>Mineral/chemical fertilisers containing N, P and K</t>
        </is>
      </c>
      <c r="F73" s="3" t="inlineStr">
        <is>
          <t>Complex Fertilizer</t>
        </is>
      </c>
      <c r="G73" s="3" t="inlineStr">
        <is>
          <t>High</t>
        </is>
      </c>
      <c r="H73" s="3" t="inlineStr">
        <is>
          <t>Balanced NPK for all crops</t>
        </is>
      </c>
      <c r="I73" s="3" t="inlineStr">
        <is>
          <t>Foliar application</t>
        </is>
      </c>
      <c r="J73" s="3" t="inlineStr">
        <is>
          <t>Bulk</t>
        </is>
      </c>
      <c r="K73" s="3" t="inlineStr">
        <is>
          <t>Compound Fertilizer</t>
        </is>
      </c>
      <c r="L73" s="3" t="inlineStr">
        <is>
          <t>Fertilizer companies, cooperatives, agri retailers</t>
        </is>
      </c>
      <c r="M73" s="3" t="inlineStr">
        <is>
          <t>Low</t>
        </is>
      </c>
      <c r="N73" s="3" t="inlineStr">
        <is>
          <t>High</t>
        </is>
      </c>
      <c r="O73" s="3" t="inlineStr">
        <is>
          <t>Low</t>
        </is>
      </c>
    </row>
    <row r="74" hidden="1" ht="15.75" customHeight="1" s="19">
      <c r="A74" s="3" t="n">
        <v>66</v>
      </c>
      <c r="B74" s="3" t="inlineStr">
        <is>
          <t>NPK 19:19:19</t>
        </is>
      </c>
      <c r="C74" s="3" t="inlineStr">
        <is>
          <t>Fertilizer</t>
        </is>
      </c>
      <c r="D74" s="3" t="inlineStr">
        <is>
          <t>310520</t>
        </is>
      </c>
      <c r="E74" s="3" t="inlineStr">
        <is>
          <t>Mineral/chemical fertilisers containing N, P and K</t>
        </is>
      </c>
      <c r="F74" s="3" t="inlineStr">
        <is>
          <t>Water-Soluble Fertilizer</t>
        </is>
      </c>
      <c r="G74" s="3" t="inlineStr">
        <is>
          <t>High</t>
        </is>
      </c>
      <c r="H74" s="3" t="inlineStr">
        <is>
          <t>Drip/foliar fertigation</t>
        </is>
      </c>
      <c r="I74" s="3" t="inlineStr">
        <is>
          <t>Greenhouse crops</t>
        </is>
      </c>
      <c r="J74" s="3" t="inlineStr">
        <is>
          <t>Bulk</t>
        </is>
      </c>
      <c r="K74" s="3" t="inlineStr">
        <is>
          <t>WSF Grade</t>
        </is>
      </c>
      <c r="L74" s="3" t="inlineStr">
        <is>
          <t>Drip irrigation companies, greenhouse operators</t>
        </is>
      </c>
      <c r="M74" s="3" t="inlineStr">
        <is>
          <t>Medium</t>
        </is>
      </c>
      <c r="N74" s="3" t="inlineStr">
        <is>
          <t>Medium</t>
        </is>
      </c>
      <c r="O74" s="3" t="inlineStr">
        <is>
          <t>Low</t>
        </is>
      </c>
    </row>
    <row r="75" hidden="1" ht="15.75" customHeight="1" s="19">
      <c r="A75" s="3" t="n">
        <v>67</v>
      </c>
      <c r="B75" s="3" t="inlineStr">
        <is>
          <t>MOP (Muriate of Potash)</t>
        </is>
      </c>
      <c r="C75" s="3" t="inlineStr">
        <is>
          <t>Fertilizer</t>
        </is>
      </c>
      <c r="D75" s="3" t="inlineStr">
        <is>
          <t>310420</t>
        </is>
      </c>
      <c r="E75" s="3" t="inlineStr">
        <is>
          <t>Potassium chloride</t>
        </is>
      </c>
      <c r="F75" s="3" t="inlineStr">
        <is>
          <t>Potassic Fertilizer</t>
        </is>
      </c>
      <c r="G75" s="3" t="inlineStr">
        <is>
          <t>High</t>
        </is>
      </c>
      <c r="H75" s="3" t="inlineStr">
        <is>
          <t>Potassium source for crops</t>
        </is>
      </c>
      <c r="I75" s="3" t="inlineStr">
        <is>
          <t>Industrial potassium chloride</t>
        </is>
      </c>
      <c r="J75" s="3" t="inlineStr">
        <is>
          <t>Bulk</t>
        </is>
      </c>
      <c r="K75" s="3" t="inlineStr">
        <is>
          <t>Potassium Chloride</t>
        </is>
      </c>
      <c r="L75" s="3" t="inlineStr">
        <is>
          <t>Fertilizer importers, blenders, cooperatives</t>
        </is>
      </c>
      <c r="M75" s="3" t="inlineStr">
        <is>
          <t>Low</t>
        </is>
      </c>
      <c r="N75" s="3" t="inlineStr">
        <is>
          <t>High</t>
        </is>
      </c>
      <c r="O75" s="3" t="inlineStr">
        <is>
          <t>Low</t>
        </is>
      </c>
    </row>
    <row r="76" hidden="1" ht="15.75" customHeight="1" s="19">
      <c r="A76" s="3" t="n">
        <v>68</v>
      </c>
      <c r="B76" s="3" t="inlineStr">
        <is>
          <t>Rock Phosphate</t>
        </is>
      </c>
      <c r="C76" s="3" t="inlineStr">
        <is>
          <t>Fertilizer</t>
        </is>
      </c>
      <c r="D76" s="3" t="inlineStr">
        <is>
          <t>252010</t>
        </is>
      </c>
      <c r="E76" s="3" t="inlineStr">
        <is>
          <t>Natural calcium phosphates</t>
        </is>
      </c>
      <c r="F76" s="3" t="inlineStr">
        <is>
          <t>Phosphatic Raw Material</t>
        </is>
      </c>
      <c r="G76" s="3" t="inlineStr">
        <is>
          <t>High</t>
        </is>
      </c>
      <c r="H76" s="3" t="inlineStr">
        <is>
          <t>Phosphoric acid &amp; SSP/DAP production</t>
        </is>
      </c>
      <c r="I76" s="3" t="inlineStr">
        <is>
          <t>Direct soil application</t>
        </is>
      </c>
      <c r="J76" s="3" t="inlineStr">
        <is>
          <t>Bulk</t>
        </is>
      </c>
      <c r="K76" s="3" t="inlineStr">
        <is>
          <t>Mineral Phosphate</t>
        </is>
      </c>
      <c r="L76" s="3" t="inlineStr">
        <is>
          <t>Fertilizer manufacturers, phosphoric acid producers</t>
        </is>
      </c>
      <c r="M76" s="3" t="inlineStr">
        <is>
          <t>Low</t>
        </is>
      </c>
      <c r="N76" s="3" t="inlineStr">
        <is>
          <t>High</t>
        </is>
      </c>
      <c r="O76" s="3" t="inlineStr">
        <is>
          <t>Low</t>
        </is>
      </c>
    </row>
    <row r="77" hidden="1" ht="15.75" customHeight="1" s="19">
      <c r="A77" s="3" t="n">
        <v>69</v>
      </c>
      <c r="B77" s="3" t="inlineStr">
        <is>
          <t>Manganese Sulphate</t>
        </is>
      </c>
      <c r="C77" s="3" t="inlineStr">
        <is>
          <t>Fertilizer</t>
        </is>
      </c>
      <c r="D77" s="3" t="inlineStr">
        <is>
          <t>283326</t>
        </is>
      </c>
      <c r="E77" s="3" t="inlineStr">
        <is>
          <t>Manganese sulphate</t>
        </is>
      </c>
      <c r="F77" s="3" t="inlineStr">
        <is>
          <t>Micronutrient Fertilizer</t>
        </is>
      </c>
      <c r="G77" s="3" t="inlineStr">
        <is>
          <t>High</t>
        </is>
      </c>
      <c r="H77" s="3" t="inlineStr">
        <is>
          <t>Manganese deficiency correction</t>
        </is>
      </c>
      <c r="I77" s="3" t="inlineStr">
        <is>
          <t>Animal feed supplement</t>
        </is>
      </c>
      <c r="J77" s="3" t="inlineStr">
        <is>
          <t>Bulk</t>
        </is>
      </c>
      <c r="K77" s="3" t="inlineStr">
        <is>
          <t>Manganese Salt</t>
        </is>
      </c>
      <c r="L77" s="3" t="inlineStr">
        <is>
          <t>Fertilizer blenders, feed manufacturers</t>
        </is>
      </c>
      <c r="M77" s="3" t="inlineStr">
        <is>
          <t>Low</t>
        </is>
      </c>
      <c r="N77" s="3" t="inlineStr">
        <is>
          <t>High</t>
        </is>
      </c>
      <c r="O77" s="3" t="inlineStr">
        <is>
          <t>Low</t>
        </is>
      </c>
    </row>
    <row r="78" hidden="1" ht="15.75" customHeight="1" s="19">
      <c r="A78" s="3" t="n">
        <v>70</v>
      </c>
      <c r="B78" s="3" t="inlineStr">
        <is>
          <t>Manganese Oxide</t>
        </is>
      </c>
      <c r="C78" s="3" t="inlineStr">
        <is>
          <t>Fertilizer</t>
        </is>
      </c>
      <c r="D78" s="3" t="inlineStr">
        <is>
          <t>282010</t>
        </is>
      </c>
      <c r="E78" s="3" t="inlineStr">
        <is>
          <t>Manganese oxides</t>
        </is>
      </c>
      <c r="F78" s="3" t="inlineStr">
        <is>
          <t>Micronutrient / Industrial</t>
        </is>
      </c>
      <c r="G78" s="3" t="inlineStr">
        <is>
          <t>High</t>
        </is>
      </c>
      <c r="H78" s="3" t="inlineStr">
        <is>
          <t>Battery cathode, glass colorant</t>
        </is>
      </c>
      <c r="I78" s="3" t="inlineStr">
        <is>
          <t>Fertilizer (Mn source)</t>
        </is>
      </c>
      <c r="J78" s="3" t="inlineStr">
        <is>
          <t>Bulk</t>
        </is>
      </c>
      <c r="K78" s="3" t="inlineStr">
        <is>
          <t>Manganese Oxide</t>
        </is>
      </c>
      <c r="L78" s="3" t="inlineStr">
        <is>
          <t>Battery manufacturers, glass industry, fertilizer</t>
        </is>
      </c>
      <c r="M78" s="3" t="inlineStr">
        <is>
          <t>Low</t>
        </is>
      </c>
      <c r="N78" s="3" t="inlineStr">
        <is>
          <t>High</t>
        </is>
      </c>
      <c r="O78" s="3" t="inlineStr">
        <is>
          <t>Low</t>
        </is>
      </c>
    </row>
    <row r="79" hidden="1" ht="15.75" customHeight="1" s="19">
      <c r="A79" s="3" t="n">
        <v>71</v>
      </c>
      <c r="B79" s="3" t="inlineStr">
        <is>
          <t>Liquid Boron</t>
        </is>
      </c>
      <c r="C79" s="3" t="inlineStr">
        <is>
          <t>Fertilizer</t>
        </is>
      </c>
      <c r="D79" s="3" t="inlineStr">
        <is>
          <t>310590</t>
        </is>
      </c>
      <c r="E79" s="3" t="inlineStr">
        <is>
          <t>Other mineral or chemical fertilisers</t>
        </is>
      </c>
      <c r="F79" s="3" t="inlineStr">
        <is>
          <t>Liquid Micronutrient</t>
        </is>
      </c>
      <c r="G79" s="3" t="inlineStr">
        <is>
          <t>Medium</t>
        </is>
      </c>
      <c r="H79" s="3" t="inlineStr">
        <is>
          <t>Foliar spray for boron deficiency</t>
        </is>
      </c>
      <c r="I79" s="3" t="inlineStr">
        <is>
          <t>Fertigation</t>
        </is>
      </c>
      <c r="J79" s="3" t="inlineStr">
        <is>
          <t>Bulk</t>
        </is>
      </c>
      <c r="K79" s="3" t="inlineStr">
        <is>
          <t>Boron Solution</t>
        </is>
      </c>
      <c r="L79" s="3" t="inlineStr">
        <is>
          <t>Agrochemical companies, specialty fertilizer brands</t>
        </is>
      </c>
      <c r="M79" s="3" t="inlineStr">
        <is>
          <t>Low</t>
        </is>
      </c>
      <c r="N79" s="3" t="inlineStr">
        <is>
          <t>Medium</t>
        </is>
      </c>
      <c r="O79" s="3" t="inlineStr">
        <is>
          <t>Low</t>
        </is>
      </c>
    </row>
    <row r="80" hidden="1" ht="15.75" customHeight="1" s="19">
      <c r="A80" s="3" t="n">
        <v>72</v>
      </c>
      <c r="B80" s="3" t="inlineStr">
        <is>
          <t>Potash</t>
        </is>
      </c>
      <c r="C80" s="3" t="inlineStr">
        <is>
          <t>Fertilizer</t>
        </is>
      </c>
      <c r="D80" s="3" t="inlineStr">
        <is>
          <t>310420</t>
        </is>
      </c>
      <c r="E80" s="3" t="inlineStr">
        <is>
          <t>Potassium chloride</t>
        </is>
      </c>
      <c r="F80" s="3" t="inlineStr">
        <is>
          <t>Potassic Fertilizer</t>
        </is>
      </c>
      <c r="G80" s="3" t="inlineStr">
        <is>
          <t>High</t>
        </is>
      </c>
      <c r="H80" s="3" t="inlineStr">
        <is>
          <t>Potassium source for crops</t>
        </is>
      </c>
      <c r="I80" s="3" t="inlineStr">
        <is>
          <t>Industrial KCl</t>
        </is>
      </c>
      <c r="J80" s="3" t="inlineStr">
        <is>
          <t>Bulk</t>
        </is>
      </c>
      <c r="K80" s="3" t="inlineStr">
        <is>
          <t>Potassium Chloride</t>
        </is>
      </c>
      <c r="L80" s="3" t="inlineStr">
        <is>
          <t>Fertilizer importers, cooperatives</t>
        </is>
      </c>
      <c r="M80" s="3" t="inlineStr">
        <is>
          <t>Low</t>
        </is>
      </c>
      <c r="N80" s="3" t="inlineStr">
        <is>
          <t>High</t>
        </is>
      </c>
      <c r="O80" s="3" t="inlineStr">
        <is>
          <t>Low</t>
        </is>
      </c>
    </row>
    <row r="81" hidden="1" ht="15.75" customHeight="1" s="19">
      <c r="A81" s="3" t="n">
        <v>73</v>
      </c>
      <c r="B81" s="3" t="inlineStr">
        <is>
          <t>Calcium (Fertilizer Grade)</t>
        </is>
      </c>
      <c r="C81" s="3" t="inlineStr">
        <is>
          <t>Fertilizer</t>
        </is>
      </c>
      <c r="D81" s="3" t="inlineStr">
        <is>
          <t>310590</t>
        </is>
      </c>
      <c r="E81" s="3" t="inlineStr">
        <is>
          <t>Other mineral or chemical fertilisers</t>
        </is>
      </c>
      <c r="F81" s="3" t="inlineStr">
        <is>
          <t>Secondary Nutrient</t>
        </is>
      </c>
      <c r="G81" s="3" t="inlineStr">
        <is>
          <t>Medium</t>
        </is>
      </c>
      <c r="H81" s="3" t="inlineStr">
        <is>
          <t>Calcium deficiency correction</t>
        </is>
      </c>
      <c r="I81" s="3" t="inlineStr">
        <is>
          <t>Soil pH amendment</t>
        </is>
      </c>
      <c r="J81" s="3" t="inlineStr">
        <is>
          <t>Bulk</t>
        </is>
      </c>
      <c r="K81" s="3" t="inlineStr">
        <is>
          <t>Calcium Compound</t>
        </is>
      </c>
      <c r="L81" s="3" t="inlineStr">
        <is>
          <t>Fertilizer blenders, fruit growers</t>
        </is>
      </c>
      <c r="M81" s="3" t="inlineStr">
        <is>
          <t>Low</t>
        </is>
      </c>
      <c r="N81" s="3" t="inlineStr">
        <is>
          <t>High</t>
        </is>
      </c>
      <c r="O81" s="3" t="inlineStr">
        <is>
          <t>Low</t>
        </is>
      </c>
    </row>
    <row r="82" hidden="1" ht="15.75" customHeight="1" s="19">
      <c r="A82" s="3" t="n">
        <v>74</v>
      </c>
      <c r="B82" s="3" t="inlineStr">
        <is>
          <t>Calcium Boron</t>
        </is>
      </c>
      <c r="C82" s="3" t="inlineStr">
        <is>
          <t>Fertilizer</t>
        </is>
      </c>
      <c r="D82" s="3" t="inlineStr">
        <is>
          <t>310590</t>
        </is>
      </c>
      <c r="E82" s="3" t="inlineStr">
        <is>
          <t>Other mineral or chemical fertilisers</t>
        </is>
      </c>
      <c r="F82" s="3" t="inlineStr">
        <is>
          <t>Micronutrient Blend</t>
        </is>
      </c>
      <c r="G82" s="3" t="inlineStr">
        <is>
          <t>Medium</t>
        </is>
      </c>
      <c r="H82" s="3" t="inlineStr">
        <is>
          <t>Combined Ca+B deficiency correction</t>
        </is>
      </c>
      <c r="I82" s="3" t="inlineStr">
        <is>
          <t>Foliar nutrition</t>
        </is>
      </c>
      <c r="J82" s="3" t="inlineStr">
        <is>
          <t>Bulk</t>
        </is>
      </c>
      <c r="K82" s="3" t="inlineStr">
        <is>
          <t>Mineral Blend</t>
        </is>
      </c>
      <c r="L82" s="3" t="inlineStr">
        <is>
          <t>Specialty fertilizer companies, horticulture</t>
        </is>
      </c>
      <c r="M82" s="3" t="inlineStr">
        <is>
          <t>Low</t>
        </is>
      </c>
      <c r="N82" s="3" t="inlineStr">
        <is>
          <t>Medium</t>
        </is>
      </c>
      <c r="O82" s="3" t="inlineStr">
        <is>
          <t>Low</t>
        </is>
      </c>
    </row>
    <row r="83" ht="15.75" customHeight="1" s="19">
      <c r="A83" s="11" t="n"/>
      <c r="B83" s="11" t="inlineStr">
        <is>
          <t>▶ Mining &amp; Mineral Processing</t>
        </is>
      </c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</row>
    <row r="84" ht="15.75" customHeight="1" s="19">
      <c r="A84" s="3" t="n">
        <v>75</v>
      </c>
      <c r="B84" s="3" t="inlineStr">
        <is>
          <t>Pentaerythritol</t>
        </is>
      </c>
      <c r="C84" s="3" t="inlineStr">
        <is>
          <t>Mining &amp; Mineral Processing</t>
        </is>
      </c>
      <c r="D84" s="3" t="inlineStr">
        <is>
          <t>290542</t>
        </is>
      </c>
      <c r="E84" s="3" t="inlineStr">
        <is>
          <t>Pentaerythritol</t>
        </is>
      </c>
      <c r="F84" s="3" t="inlineStr">
        <is>
          <t>Polyol</t>
        </is>
      </c>
      <c r="G84" s="3" t="inlineStr">
        <is>
          <t>High</t>
        </is>
      </c>
      <c r="H84" s="3" t="inlineStr">
        <is>
          <t>Alkyd resin production, explosives (PETN)</t>
        </is>
      </c>
      <c r="I84" s="3" t="inlineStr">
        <is>
          <t>Synthetic lubricants, coatings</t>
        </is>
      </c>
      <c r="J84" s="3" t="inlineStr">
        <is>
          <t>Bulk</t>
        </is>
      </c>
      <c r="K84" s="3" t="inlineStr">
        <is>
          <t>Polyhydric Alcohol</t>
        </is>
      </c>
      <c r="L84" s="3" t="inlineStr">
        <is>
          <t>Paint/coating companies, explosive manufacturers, lubricant makers</t>
        </is>
      </c>
      <c r="M84" s="3" t="inlineStr">
        <is>
          <t>Medium</t>
        </is>
      </c>
      <c r="N84" s="3" t="inlineStr">
        <is>
          <t>High</t>
        </is>
      </c>
      <c r="O84" s="3" t="inlineStr">
        <is>
          <t>Medium</t>
        </is>
      </c>
    </row>
    <row r="85" ht="15.75" customHeight="1" s="19">
      <c r="A85" s="3" t="n">
        <v>76</v>
      </c>
      <c r="B85" s="3" t="inlineStr">
        <is>
          <t>KCL (Potassium Chloride)</t>
        </is>
      </c>
      <c r="C85" s="3" t="inlineStr">
        <is>
          <t>Mining &amp; Mineral Processing</t>
        </is>
      </c>
      <c r="D85" s="3" t="inlineStr">
        <is>
          <t>282741</t>
        </is>
      </c>
      <c r="E85" s="3" t="inlineStr">
        <is>
          <t>Potassium chloride</t>
        </is>
      </c>
      <c r="F85" s="3" t="inlineStr">
        <is>
          <t>Inorganic Salt</t>
        </is>
      </c>
      <c r="G85" s="3" t="inlineStr">
        <is>
          <t>High</t>
        </is>
      </c>
      <c r="H85" s="3" t="inlineStr">
        <is>
          <t>Fertilizer, food grade salt substitute</t>
        </is>
      </c>
      <c r="I85" s="3" t="inlineStr">
        <is>
          <t>Oil drilling fluids</t>
        </is>
      </c>
      <c r="J85" s="3" t="inlineStr">
        <is>
          <t>Bulk</t>
        </is>
      </c>
      <c r="K85" s="3" t="inlineStr">
        <is>
          <t>Alkali Metal Halide</t>
        </is>
      </c>
      <c r="L85" s="3" t="inlineStr">
        <is>
          <t>Fertilizer companies, oil drilling, food processors</t>
        </is>
      </c>
      <c r="M85" s="3" t="inlineStr">
        <is>
          <t>Low</t>
        </is>
      </c>
      <c r="N85" s="3" t="inlineStr">
        <is>
          <t>High</t>
        </is>
      </c>
      <c r="O85" s="3" t="inlineStr">
        <is>
          <t>Low</t>
        </is>
      </c>
    </row>
    <row r="86" ht="15.75" customHeight="1" s="19">
      <c r="A86" s="3" t="n">
        <v>77</v>
      </c>
      <c r="B86" s="3" t="inlineStr">
        <is>
          <t>Barite</t>
        </is>
      </c>
      <c r="C86" s="3" t="inlineStr">
        <is>
          <t>Mining &amp; Mineral Processing</t>
        </is>
      </c>
      <c r="D86" s="3" t="inlineStr">
        <is>
          <t>251110</t>
        </is>
      </c>
      <c r="E86" s="3" t="inlineStr">
        <is>
          <t>Natural barium sulphate (barytes)</t>
        </is>
      </c>
      <c r="F86" s="3" t="inlineStr">
        <is>
          <t>Industrial Mineral</t>
        </is>
      </c>
      <c r="G86" s="3" t="inlineStr">
        <is>
          <t>High</t>
        </is>
      </c>
      <c r="H86" s="3" t="inlineStr">
        <is>
          <t>Oil drilling mud weighting agent</t>
        </is>
      </c>
      <c r="I86" s="3" t="inlineStr">
        <is>
          <t>Barium chemical production</t>
        </is>
      </c>
      <c r="J86" s="3" t="inlineStr">
        <is>
          <t>Bulk</t>
        </is>
      </c>
      <c r="K86" s="3" t="inlineStr">
        <is>
          <t>Barium Sulfate Mineral</t>
        </is>
      </c>
      <c r="L86" s="3" t="inlineStr">
        <is>
          <t>Oil drilling companies, barium chemical producers</t>
        </is>
      </c>
      <c r="M86" s="3" t="inlineStr">
        <is>
          <t>Low</t>
        </is>
      </c>
      <c r="N86" s="3" t="inlineStr">
        <is>
          <t>High</t>
        </is>
      </c>
      <c r="O86" s="3" t="inlineStr">
        <is>
          <t>Low</t>
        </is>
      </c>
    </row>
    <row r="87" ht="15.75" customHeight="1" s="19">
      <c r="A87" s="3" t="n">
        <v>78</v>
      </c>
      <c r="B87" s="3" t="inlineStr">
        <is>
          <t>Sodium Cyanide</t>
        </is>
      </c>
      <c r="C87" s="3" t="inlineStr">
        <is>
          <t>Mining &amp; Mineral Processing</t>
        </is>
      </c>
      <c r="D87" s="3" t="inlineStr">
        <is>
          <t>283790</t>
        </is>
      </c>
      <c r="E87" s="3" t="inlineStr">
        <is>
          <t>Cyanides and cyanide oxides</t>
        </is>
      </c>
      <c r="F87" s="3" t="inlineStr">
        <is>
          <t>Inorganic Salt</t>
        </is>
      </c>
      <c r="G87" s="3" t="inlineStr">
        <is>
          <t>High</t>
        </is>
      </c>
      <c r="H87" s="3" t="inlineStr">
        <is>
          <t>Gold extraction (heap leaching)</t>
        </is>
      </c>
      <c r="I87" s="3" t="inlineStr">
        <is>
          <t>Electroplating, chemical synthesis</t>
        </is>
      </c>
      <c r="J87" s="3" t="inlineStr">
        <is>
          <t>Bulk</t>
        </is>
      </c>
      <c r="K87" s="3" t="inlineStr">
        <is>
          <t>Alkali Metal Cyanide</t>
        </is>
      </c>
      <c r="L87" s="3" t="inlineStr">
        <is>
          <t>Gold mining companies, electroplaters</t>
        </is>
      </c>
      <c r="M87" s="3" t="inlineStr">
        <is>
          <t>Medium</t>
        </is>
      </c>
      <c r="N87" s="3" t="inlineStr">
        <is>
          <t>High</t>
        </is>
      </c>
      <c r="O87" s="3" t="inlineStr">
        <is>
          <t>Medium</t>
        </is>
      </c>
    </row>
    <row r="88" ht="15.75" customHeight="1" s="19">
      <c r="A88" s="3" t="n">
        <v>79</v>
      </c>
      <c r="B88" s="3" t="inlineStr">
        <is>
          <t>Caustic Soda</t>
        </is>
      </c>
      <c r="C88" s="3" t="inlineStr">
        <is>
          <t>Mining &amp; Mineral Processing</t>
        </is>
      </c>
      <c r="D88" s="3" t="inlineStr">
        <is>
          <t>281511</t>
        </is>
      </c>
      <c r="E88" s="3" t="inlineStr">
        <is>
          <t>Sodium hydroxide (caustic soda) - solid</t>
        </is>
      </c>
      <c r="F88" s="3" t="inlineStr">
        <is>
          <t>Inorganic Base</t>
        </is>
      </c>
      <c r="G88" s="3" t="inlineStr">
        <is>
          <t>High</t>
        </is>
      </c>
      <c r="H88" s="3" t="inlineStr">
        <is>
          <t>Alumina refining, pulp &amp; paper</t>
        </is>
      </c>
      <c r="I88" s="3" t="inlineStr">
        <is>
          <t>Soap making, water treatment</t>
        </is>
      </c>
      <c r="J88" s="3" t="inlineStr">
        <is>
          <t>Bulk</t>
        </is>
      </c>
      <c r="K88" s="3" t="inlineStr">
        <is>
          <t>Alkali Metal Hydroxide</t>
        </is>
      </c>
      <c r="L88" s="3" t="inlineStr">
        <is>
          <t>Alumina refineries, paper mills, textile mills</t>
        </is>
      </c>
      <c r="M88" s="3" t="inlineStr">
        <is>
          <t>Low</t>
        </is>
      </c>
      <c r="N88" s="3" t="inlineStr">
        <is>
          <t>High</t>
        </is>
      </c>
      <c r="O88" s="3" t="inlineStr">
        <is>
          <t>Low</t>
        </is>
      </c>
    </row>
    <row r="89" ht="15.75" customHeight="1" s="19">
      <c r="A89" s="3" t="n">
        <v>80</v>
      </c>
      <c r="B89" s="3" t="inlineStr">
        <is>
          <t>Nitric Acid</t>
        </is>
      </c>
      <c r="C89" s="3" t="inlineStr">
        <is>
          <t>Mining &amp; Mineral Processing</t>
        </is>
      </c>
      <c r="D89" s="3" t="inlineStr">
        <is>
          <t>280800</t>
        </is>
      </c>
      <c r="E89" s="3" t="inlineStr">
        <is>
          <t>Nitric acid; sulphonitric acids</t>
        </is>
      </c>
      <c r="F89" s="3" t="inlineStr">
        <is>
          <t>Inorganic Acid</t>
        </is>
      </c>
      <c r="G89" s="3" t="inlineStr">
        <is>
          <t>High</t>
        </is>
      </c>
      <c r="H89" s="3" t="inlineStr">
        <is>
          <t>Fertilizer (ammonium nitrate) production</t>
        </is>
      </c>
      <c r="I89" s="3" t="inlineStr">
        <is>
          <t>Metal etching, explosives</t>
        </is>
      </c>
      <c r="J89" s="3" t="inlineStr">
        <is>
          <t>Bulk</t>
        </is>
      </c>
      <c r="K89" s="3" t="inlineStr">
        <is>
          <t>Strong Mineral Acid</t>
        </is>
      </c>
      <c r="L89" s="3" t="inlineStr">
        <is>
          <t>Fertilizer companies, electronics, metal processors</t>
        </is>
      </c>
      <c r="M89" s="3" t="inlineStr">
        <is>
          <t>Low</t>
        </is>
      </c>
      <c r="N89" s="3" t="inlineStr">
        <is>
          <t>High</t>
        </is>
      </c>
      <c r="O89" s="3" t="inlineStr">
        <is>
          <t>Low</t>
        </is>
      </c>
    </row>
    <row r="90" ht="15.75" customHeight="1" s="19">
      <c r="A90" s="3" t="n">
        <v>81</v>
      </c>
      <c r="B90" s="3" t="inlineStr">
        <is>
          <t>Copper Sulphate</t>
        </is>
      </c>
      <c r="C90" s="3" t="inlineStr">
        <is>
          <t>Mining &amp; Mineral Processing</t>
        </is>
      </c>
      <c r="D90" s="3" t="inlineStr">
        <is>
          <t>283325</t>
        </is>
      </c>
      <c r="E90" s="3" t="inlineStr">
        <is>
          <t>Copper sulphate</t>
        </is>
      </c>
      <c r="F90" s="3" t="inlineStr">
        <is>
          <t>Metal Salt</t>
        </is>
      </c>
      <c r="G90" s="3" t="inlineStr">
        <is>
          <t>High</t>
        </is>
      </c>
      <c r="H90" s="3" t="inlineStr">
        <is>
          <t>Water treatment (algicide)</t>
        </is>
      </c>
      <c r="I90" s="3" t="inlineStr">
        <is>
          <t>Agriculture (fungicide), electroplating</t>
        </is>
      </c>
      <c r="J90" s="3" t="inlineStr">
        <is>
          <t>Bulk</t>
        </is>
      </c>
      <c r="K90" s="3" t="inlineStr">
        <is>
          <t>Transition Metal Salt</t>
        </is>
      </c>
      <c r="L90" s="3" t="inlineStr">
        <is>
          <t>Water utilities, farmers, electroplaters</t>
        </is>
      </c>
      <c r="M90" s="3" t="inlineStr">
        <is>
          <t>Low</t>
        </is>
      </c>
      <c r="N90" s="3" t="inlineStr">
        <is>
          <t>High</t>
        </is>
      </c>
      <c r="O90" s="3" t="inlineStr">
        <is>
          <t>Low</t>
        </is>
      </c>
    </row>
    <row r="91" ht="15.75" customHeight="1" s="19">
      <c r="A91" s="3" t="n">
        <v>82</v>
      </c>
      <c r="B91" s="3" t="inlineStr">
        <is>
          <t>Soda Ash</t>
        </is>
      </c>
      <c r="C91" s="3" t="inlineStr">
        <is>
          <t>Mining &amp; Mineral Processing</t>
        </is>
      </c>
      <c r="D91" s="3" t="inlineStr">
        <is>
          <t>283620</t>
        </is>
      </c>
      <c r="E91" s="3" t="inlineStr">
        <is>
          <t>Disodium carbonate (soda ash)</t>
        </is>
      </c>
      <c r="F91" s="3" t="inlineStr">
        <is>
          <t>Inorganic Salt</t>
        </is>
      </c>
      <c r="G91" s="3" t="inlineStr">
        <is>
          <t>High</t>
        </is>
      </c>
      <c r="H91" s="3" t="inlineStr">
        <is>
          <t>Glass manufacturing, detergents</t>
        </is>
      </c>
      <c r="I91" s="3" t="inlineStr">
        <is>
          <t>Water treatment, chemicals</t>
        </is>
      </c>
      <c r="J91" s="3" t="inlineStr">
        <is>
          <t>Bulk</t>
        </is>
      </c>
      <c r="K91" s="3" t="inlineStr">
        <is>
          <t>Sodium Carbonate</t>
        </is>
      </c>
      <c r="L91" s="3" t="inlineStr">
        <is>
          <t>Glass manufacturers, detergent makers, chemical companies</t>
        </is>
      </c>
      <c r="M91" s="3" t="inlineStr">
        <is>
          <t>Low</t>
        </is>
      </c>
      <c r="N91" s="3" t="inlineStr">
        <is>
          <t>High</t>
        </is>
      </c>
      <c r="O91" s="3" t="inlineStr">
        <is>
          <t>Low</t>
        </is>
      </c>
    </row>
    <row r="92" ht="15.75" customHeight="1" s="19">
      <c r="A92" s="3" t="n">
        <v>83</v>
      </c>
      <c r="B92" s="3" t="inlineStr">
        <is>
          <t>CMC</t>
        </is>
      </c>
      <c r="C92" s="3" t="inlineStr">
        <is>
          <t>Mining &amp; Mineral Processing</t>
        </is>
      </c>
      <c r="D92" s="3" t="inlineStr">
        <is>
          <t>391232</t>
        </is>
      </c>
      <c r="E92" s="3" t="inlineStr">
        <is>
          <t>Carboxymethylcellulose and its salts</t>
        </is>
      </c>
      <c r="F92" s="3" t="inlineStr">
        <is>
          <t>Cellulose Polymer</t>
        </is>
      </c>
      <c r="G92" s="3" t="inlineStr">
        <is>
          <t>High</t>
        </is>
      </c>
      <c r="H92" s="3" t="inlineStr">
        <is>
          <t>Oil drilling fluid thickener</t>
        </is>
      </c>
      <c r="I92" s="3" t="inlineStr">
        <is>
          <t>Food, pharma, detergents</t>
        </is>
      </c>
      <c r="J92" s="3" t="inlineStr">
        <is>
          <t>Bulk</t>
        </is>
      </c>
      <c r="K92" s="3" t="inlineStr">
        <is>
          <t>Cellulose Derivative</t>
        </is>
      </c>
      <c r="L92" s="3" t="inlineStr">
        <is>
          <t>Oil drilling companies, food processors, pharma</t>
        </is>
      </c>
      <c r="M92" s="3" t="inlineStr">
        <is>
          <t>Low</t>
        </is>
      </c>
      <c r="N92" s="3" t="inlineStr">
        <is>
          <t>High</t>
        </is>
      </c>
      <c r="O92" s="3" t="inlineStr">
        <is>
          <t>Low</t>
        </is>
      </c>
    </row>
    <row r="93" ht="15.75" customHeight="1" s="19">
      <c r="A93" s="3" t="n">
        <v>84</v>
      </c>
      <c r="B93" s="3" t="inlineStr">
        <is>
          <t>Polyacrylamide</t>
        </is>
      </c>
      <c r="C93" s="3" t="inlineStr">
        <is>
          <t>Mining &amp; Mineral Processing</t>
        </is>
      </c>
      <c r="D93" s="3" t="inlineStr">
        <is>
          <t>390690</t>
        </is>
      </c>
      <c r="E93" s="3" t="inlineStr">
        <is>
          <t>Other addition polymers nes</t>
        </is>
      </c>
      <c r="F93" s="3" t="inlineStr">
        <is>
          <t>Synthetic Polymer</t>
        </is>
      </c>
      <c r="G93" s="3" t="inlineStr">
        <is>
          <t>High</t>
        </is>
      </c>
      <c r="H93" s="3" t="inlineStr">
        <is>
          <t>Mining flocculant, EOR</t>
        </is>
      </c>
      <c r="I93" s="3" t="inlineStr">
        <is>
          <t>Water treatment, paper</t>
        </is>
      </c>
      <c r="J93" s="3" t="inlineStr">
        <is>
          <t>Bulk</t>
        </is>
      </c>
      <c r="K93" s="3" t="inlineStr">
        <is>
          <t>Acrylamide Polymer</t>
        </is>
      </c>
      <c r="L93" s="3" t="inlineStr">
        <is>
          <t>Mining companies, water treatment plants, paper mills</t>
        </is>
      </c>
      <c r="M93" s="3" t="inlineStr">
        <is>
          <t>Medium</t>
        </is>
      </c>
      <c r="N93" s="3" t="inlineStr">
        <is>
          <t>High</t>
        </is>
      </c>
      <c r="O93" s="3" t="inlineStr">
        <is>
          <t>Medium</t>
        </is>
      </c>
    </row>
    <row r="94" ht="15.75" customHeight="1" s="19">
      <c r="A94" s="3" t="n">
        <v>85</v>
      </c>
      <c r="B94" s="3" t="inlineStr">
        <is>
          <t>Xanthan Gum</t>
        </is>
      </c>
      <c r="C94" s="3" t="inlineStr">
        <is>
          <t>Mining &amp; Mineral Processing</t>
        </is>
      </c>
      <c r="D94" s="3" t="inlineStr">
        <is>
          <t>130239</t>
        </is>
      </c>
      <c r="E94" s="3" t="inlineStr">
        <is>
          <t>Other mucilages and thickeners from vegetable products</t>
        </is>
      </c>
      <c r="F94" s="3" t="inlineStr">
        <is>
          <t>Polysaccharide</t>
        </is>
      </c>
      <c r="G94" s="3" t="inlineStr">
        <is>
          <t>High</t>
        </is>
      </c>
      <c r="H94" s="3" t="inlineStr">
        <is>
          <t>Oil drilling viscosifier</t>
        </is>
      </c>
      <c r="I94" s="3" t="inlineStr">
        <is>
          <t>Food thickener, cosmetics</t>
        </is>
      </c>
      <c r="J94" s="3" t="inlineStr">
        <is>
          <t>Bulk</t>
        </is>
      </c>
      <c r="K94" s="3" t="inlineStr">
        <is>
          <t>Microbial Polysaccharide</t>
        </is>
      </c>
      <c r="L94" s="3" t="inlineStr">
        <is>
          <t>Oil drilling, food processors, cosmetic formulators</t>
        </is>
      </c>
      <c r="M94" s="3" t="inlineStr">
        <is>
          <t>Medium</t>
        </is>
      </c>
      <c r="N94" s="3" t="inlineStr">
        <is>
          <t>Medium</t>
        </is>
      </c>
      <c r="O94" s="3" t="inlineStr">
        <is>
          <t>Medium</t>
        </is>
      </c>
    </row>
    <row r="95" ht="15.75" customHeight="1" s="19">
      <c r="A95" s="3" t="n">
        <v>86</v>
      </c>
      <c r="B95" s="3" t="inlineStr">
        <is>
          <t>Guar Gum</t>
        </is>
      </c>
      <c r="C95" s="3" t="inlineStr">
        <is>
          <t>Mining &amp; Mineral Processing</t>
        </is>
      </c>
      <c r="D95" s="3" t="inlineStr">
        <is>
          <t>130232</t>
        </is>
      </c>
      <c r="E95" s="3" t="inlineStr">
        <is>
          <t>Guar gum</t>
        </is>
      </c>
      <c r="F95" s="3" t="inlineStr">
        <is>
          <t>Natural Polysaccharide</t>
        </is>
      </c>
      <c r="G95" s="3" t="inlineStr">
        <is>
          <t>High</t>
        </is>
      </c>
      <c r="H95" s="3" t="inlineStr">
        <is>
          <t>Oil/gas fracturing fluid</t>
        </is>
      </c>
      <c r="I95" s="3" t="inlineStr">
        <is>
          <t>Food thickener, textile sizing</t>
        </is>
      </c>
      <c r="J95" s="3" t="inlineStr">
        <is>
          <t>Bulk</t>
        </is>
      </c>
      <c r="K95" s="3" t="inlineStr">
        <is>
          <t>Plant-derived Polysaccharide</t>
        </is>
      </c>
      <c r="L95" s="3" t="inlineStr">
        <is>
          <t>Oil companies, food processors, textile mills</t>
        </is>
      </c>
      <c r="M95" s="3" t="inlineStr">
        <is>
          <t>Medium</t>
        </is>
      </c>
      <c r="N95" s="3" t="inlineStr">
        <is>
          <t>High</t>
        </is>
      </c>
      <c r="O95" s="3" t="inlineStr">
        <is>
          <t>Medium</t>
        </is>
      </c>
    </row>
    <row r="96" ht="15.75" customHeight="1" s="19">
      <c r="A96" s="11" t="n"/>
      <c r="B96" s="11" t="inlineStr">
        <is>
          <t>▶ Coating &amp; Inks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</row>
    <row r="97" ht="15.75" customHeight="1" s="19">
      <c r="A97" s="3" t="n">
        <v>87</v>
      </c>
      <c r="B97" s="3" t="inlineStr">
        <is>
          <t>Titanium Dioxide</t>
        </is>
      </c>
      <c r="C97" s="3" t="inlineStr">
        <is>
          <t>Coating &amp; Inks</t>
        </is>
      </c>
      <c r="D97" s="3" t="inlineStr">
        <is>
          <t>320611</t>
        </is>
      </c>
      <c r="E97" s="3" t="inlineStr">
        <is>
          <t>Titanium dioxide</t>
        </is>
      </c>
      <c r="F97" s="3" t="inlineStr">
        <is>
          <t>Inorganic Pigment</t>
        </is>
      </c>
      <c r="G97" s="3" t="inlineStr">
        <is>
          <t>High</t>
        </is>
      </c>
      <c r="H97" s="3" t="inlineStr">
        <is>
          <t>White pigment in paints/coatings</t>
        </is>
      </c>
      <c r="I97" s="3" t="inlineStr">
        <is>
          <t>Plastics, paper, cosmetics (sunscreen)</t>
        </is>
      </c>
      <c r="J97" s="3" t="inlineStr">
        <is>
          <t>Bulk</t>
        </is>
      </c>
      <c r="K97" s="3" t="inlineStr">
        <is>
          <t>Metal Oxide Pigment</t>
        </is>
      </c>
      <c r="L97" s="3" t="inlineStr">
        <is>
          <t>Paint companies, plastic compounders, paper mills</t>
        </is>
      </c>
      <c r="M97" s="3" t="inlineStr">
        <is>
          <t>Medium</t>
        </is>
      </c>
      <c r="N97" s="3" t="inlineStr">
        <is>
          <t>High</t>
        </is>
      </c>
      <c r="O97" s="3" t="inlineStr">
        <is>
          <t>Medium</t>
        </is>
      </c>
    </row>
    <row r="98" ht="15.75" customHeight="1" s="19">
      <c r="A98" s="3" t="n">
        <v>88</v>
      </c>
      <c r="B98" s="3" t="inlineStr">
        <is>
          <t>Barium Sulphate (Blanc Fixe)</t>
        </is>
      </c>
      <c r="C98" s="3" t="inlineStr">
        <is>
          <t>Coating &amp; Inks</t>
        </is>
      </c>
      <c r="D98" s="3" t="inlineStr">
        <is>
          <t>320649</t>
        </is>
      </c>
      <c r="E98" s="3" t="inlineStr">
        <is>
          <t>Other inorganic products used as luminophores</t>
        </is>
      </c>
      <c r="F98" s="3" t="inlineStr">
        <is>
          <t>Inorganic Filler/Pigment</t>
        </is>
      </c>
      <c r="G98" s="3" t="inlineStr">
        <is>
          <t>High</t>
        </is>
      </c>
      <c r="H98" s="3" t="inlineStr">
        <is>
          <t>Paint extender, paper filler</t>
        </is>
      </c>
      <c r="I98" s="3" t="inlineStr">
        <is>
          <t>Rubber filler, X-ray contrast</t>
        </is>
      </c>
      <c r="J98" s="3" t="inlineStr">
        <is>
          <t>Bulk</t>
        </is>
      </c>
      <c r="K98" s="3" t="inlineStr">
        <is>
          <t>Barium Salt</t>
        </is>
      </c>
      <c r="L98" s="3" t="inlineStr">
        <is>
          <t>Paint companies, paper mills, rubber manufacturers</t>
        </is>
      </c>
      <c r="M98" s="3" t="inlineStr">
        <is>
          <t>Low</t>
        </is>
      </c>
      <c r="N98" s="3" t="inlineStr">
        <is>
          <t>High</t>
        </is>
      </c>
      <c r="O98" s="3" t="inlineStr">
        <is>
          <t>Low</t>
        </is>
      </c>
    </row>
    <row r="99" ht="15.75" customHeight="1" s="19">
      <c r="A99" s="3" t="n">
        <v>89</v>
      </c>
      <c r="B99" s="3" t="inlineStr">
        <is>
          <t>Zinc Phosphate</t>
        </is>
      </c>
      <c r="C99" s="3" t="inlineStr">
        <is>
          <t>Coating &amp; Inks</t>
        </is>
      </c>
      <c r="D99" s="3" t="inlineStr">
        <is>
          <t>283529</t>
        </is>
      </c>
      <c r="E99" s="3" t="inlineStr">
        <is>
          <t>Other phosphates</t>
        </is>
      </c>
      <c r="F99" s="3" t="inlineStr">
        <is>
          <t>Anti-corrosion Pigment</t>
        </is>
      </c>
      <c r="G99" s="3" t="inlineStr">
        <is>
          <t>High</t>
        </is>
      </c>
      <c r="H99" s="3" t="inlineStr">
        <is>
          <t>Primer paints, metal pretreatment</t>
        </is>
      </c>
      <c r="I99" s="3" t="inlineStr">
        <is>
          <t>Dental cement</t>
        </is>
      </c>
      <c r="J99" s="3" t="inlineStr">
        <is>
          <t>Bulk</t>
        </is>
      </c>
      <c r="K99" s="3" t="inlineStr">
        <is>
          <t>Metal Phosphate</t>
        </is>
      </c>
      <c r="L99" s="3" t="inlineStr">
        <is>
          <t>Paint companies, metal fabricators</t>
        </is>
      </c>
      <c r="M99" s="3" t="inlineStr">
        <is>
          <t>Medium</t>
        </is>
      </c>
      <c r="N99" s="3" t="inlineStr">
        <is>
          <t>Medium</t>
        </is>
      </c>
      <c r="O99" s="3" t="inlineStr">
        <is>
          <t>Medium</t>
        </is>
      </c>
    </row>
    <row r="100" ht="15.75" customHeight="1" s="19">
      <c r="A100" s="3" t="n">
        <v>90</v>
      </c>
      <c r="B100" s="3" t="inlineStr">
        <is>
          <t>Titanium Phosphate</t>
        </is>
      </c>
      <c r="C100" s="3" t="inlineStr">
        <is>
          <t>Coating &amp; Inks</t>
        </is>
      </c>
      <c r="D100" s="3" t="inlineStr">
        <is>
          <t>283529</t>
        </is>
      </c>
      <c r="E100" s="3" t="inlineStr">
        <is>
          <t>Other phosphates</t>
        </is>
      </c>
      <c r="F100" s="3" t="inlineStr">
        <is>
          <t>Specialty Pigment/Filler</t>
        </is>
      </c>
      <c r="G100" s="3" t="inlineStr">
        <is>
          <t>Medium</t>
        </is>
      </c>
      <c r="H100" s="3" t="inlineStr">
        <is>
          <t>Anti-corrosion coatings</t>
        </is>
      </c>
      <c r="I100" s="3" t="inlineStr">
        <is>
          <t>Specialty ceramics</t>
        </is>
      </c>
      <c r="J100" s="3" t="inlineStr">
        <is>
          <t>Active</t>
        </is>
      </c>
      <c r="K100" s="3" t="inlineStr">
        <is>
          <t>Metal Phosphate</t>
        </is>
      </c>
      <c r="L100" s="3" t="inlineStr">
        <is>
          <t>Paint companies, specialty coating formulators</t>
        </is>
      </c>
      <c r="M100" s="3" t="inlineStr">
        <is>
          <t>Medium</t>
        </is>
      </c>
      <c r="N100" s="3" t="inlineStr">
        <is>
          <t>Low</t>
        </is>
      </c>
      <c r="O100" s="3" t="inlineStr">
        <is>
          <t>High</t>
        </is>
      </c>
    </row>
    <row r="101" ht="15.75" customHeight="1" s="19">
      <c r="A101" s="3" t="n">
        <v>91</v>
      </c>
      <c r="B101" s="3" t="inlineStr">
        <is>
          <t>Sodium Tungstate</t>
        </is>
      </c>
      <c r="C101" s="3" t="inlineStr">
        <is>
          <t>Coating &amp; Inks</t>
        </is>
      </c>
      <c r="D101" s="3" t="inlineStr">
        <is>
          <t>284190</t>
        </is>
      </c>
      <c r="E101" s="3" t="inlineStr">
        <is>
          <t>Other salts of inorganic acids/peroxoacids nes</t>
        </is>
      </c>
      <c r="F101" s="3" t="inlineStr">
        <is>
          <t>Inorganic Salt</t>
        </is>
      </c>
      <c r="G101" s="3" t="inlineStr">
        <is>
          <t>High</t>
        </is>
      </c>
      <c r="H101" s="3" t="inlineStr">
        <is>
          <t>Fireproofing textiles, analytical reagent</t>
        </is>
      </c>
      <c r="I101" s="3" t="inlineStr">
        <is>
          <t>Tungsten metal precursor</t>
        </is>
      </c>
      <c r="J101" s="3" t="inlineStr">
        <is>
          <t>Active</t>
        </is>
      </c>
      <c r="K101" s="3" t="inlineStr">
        <is>
          <t>Tungsten Salt</t>
        </is>
      </c>
      <c r="L101" s="3" t="inlineStr">
        <is>
          <t>Textile mills, analytical labs, tungsten processors</t>
        </is>
      </c>
      <c r="M101" s="3" t="inlineStr">
        <is>
          <t>High</t>
        </is>
      </c>
      <c r="N101" s="3" t="inlineStr">
        <is>
          <t>Low</t>
        </is>
      </c>
      <c r="O101" s="3" t="inlineStr">
        <is>
          <t>High</t>
        </is>
      </c>
    </row>
    <row r="102" ht="15.75" customHeight="1" s="19">
      <c r="A102" s="3" t="n">
        <v>92</v>
      </c>
      <c r="B102" s="3" t="inlineStr">
        <is>
          <t>Reactive Dyes</t>
        </is>
      </c>
      <c r="C102" s="3" t="inlineStr">
        <is>
          <t>Coating &amp; Inks</t>
        </is>
      </c>
      <c r="D102" s="3" t="inlineStr">
        <is>
          <t>320416</t>
        </is>
      </c>
      <c r="E102" s="3" t="inlineStr">
        <is>
          <t>Reactive dyes</t>
        </is>
      </c>
      <c r="F102" s="3" t="inlineStr">
        <is>
          <t>Textile Dye</t>
        </is>
      </c>
      <c r="G102" s="3" t="inlineStr">
        <is>
          <t>High</t>
        </is>
      </c>
      <c r="H102" s="3" t="inlineStr">
        <is>
          <t>Cotton/cellulose fiber dyeing</t>
        </is>
      </c>
      <c r="I102" s="3" t="inlineStr">
        <is>
          <t>Ink-jet printing on textiles</t>
        </is>
      </c>
      <c r="J102" s="3" t="inlineStr">
        <is>
          <t>Bulk</t>
        </is>
      </c>
      <c r="K102" s="3" t="inlineStr">
        <is>
          <t>Fiber-reactive Colorant</t>
        </is>
      </c>
      <c r="L102" s="3" t="inlineStr">
        <is>
          <t>Textile mills, garment manufacturers, digital printers</t>
        </is>
      </c>
      <c r="M102" s="3" t="inlineStr">
        <is>
          <t>Medium</t>
        </is>
      </c>
      <c r="N102" s="3" t="inlineStr">
        <is>
          <t>High</t>
        </is>
      </c>
      <c r="O102" s="3" t="inlineStr">
        <is>
          <t>Medium</t>
        </is>
      </c>
    </row>
    <row r="103" ht="15.75" customHeight="1" s="19">
      <c r="A103" s="3" t="n">
        <v>93</v>
      </c>
      <c r="B103" s="3" t="inlineStr">
        <is>
          <t>Organic Dyes</t>
        </is>
      </c>
      <c r="C103" s="3" t="inlineStr">
        <is>
          <t>Coating &amp; Inks</t>
        </is>
      </c>
      <c r="D103" s="3" t="inlineStr">
        <is>
          <t>320419</t>
        </is>
      </c>
      <c r="E103" s="3" t="inlineStr">
        <is>
          <t>Other synthetic organic colouring matter nes</t>
        </is>
      </c>
      <c r="F103" s="3" t="inlineStr">
        <is>
          <t>Synthetic Colorant</t>
        </is>
      </c>
      <c r="G103" s="3" t="inlineStr">
        <is>
          <t>High</t>
        </is>
      </c>
      <c r="H103" s="3" t="inlineStr">
        <is>
          <t>Textile, leather, paper coloring</t>
        </is>
      </c>
      <c r="I103" s="3" t="inlineStr">
        <is>
          <t>Ink, biological staining</t>
        </is>
      </c>
      <c r="J103" s="3" t="inlineStr">
        <is>
          <t>Bulk</t>
        </is>
      </c>
      <c r="K103" s="3" t="inlineStr">
        <is>
          <t>Organic Colorant</t>
        </is>
      </c>
      <c r="L103" s="3" t="inlineStr">
        <is>
          <t>Textile mills, ink manufacturers, leather tanners</t>
        </is>
      </c>
      <c r="M103" s="3" t="inlineStr">
        <is>
          <t>Medium</t>
        </is>
      </c>
      <c r="N103" s="3" t="inlineStr">
        <is>
          <t>High</t>
        </is>
      </c>
      <c r="O103" s="3" t="inlineStr">
        <is>
          <t>Medium</t>
        </is>
      </c>
    </row>
    <row r="104" ht="15.75" customHeight="1" s="19">
      <c r="A104" s="3" t="n">
        <v>94</v>
      </c>
      <c r="B104" s="3" t="inlineStr">
        <is>
          <t>Cobalt Octoate (Drier)</t>
        </is>
      </c>
      <c r="C104" s="3" t="inlineStr">
        <is>
          <t>Coating &amp; Inks</t>
        </is>
      </c>
      <c r="D104" s="3" t="inlineStr">
        <is>
          <t>382400</t>
        </is>
      </c>
      <c r="E104" s="3" t="inlineStr">
        <is>
          <t>Prepared paint and varnish driers</t>
        </is>
      </c>
      <c r="F104" s="3" t="inlineStr">
        <is>
          <t>Metal Soap / Drier</t>
        </is>
      </c>
      <c r="G104" s="3" t="inlineStr">
        <is>
          <t>High</t>
        </is>
      </c>
      <c r="H104" s="3" t="inlineStr">
        <is>
          <t>Paint drier (oxidative cure)</t>
        </is>
      </c>
      <c r="I104" s="3" t="inlineStr">
        <is>
          <t>Polyester resin catalyst</t>
        </is>
      </c>
      <c r="J104" s="3" t="inlineStr">
        <is>
          <t>Bulk</t>
        </is>
      </c>
      <c r="K104" s="3" t="inlineStr">
        <is>
          <t>Organometallic Drier</t>
        </is>
      </c>
      <c r="L104" s="3" t="inlineStr">
        <is>
          <t>Paint manufacturers, resin producers</t>
        </is>
      </c>
      <c r="M104" s="3" t="inlineStr">
        <is>
          <t>Medium</t>
        </is>
      </c>
      <c r="N104" s="3" t="inlineStr">
        <is>
          <t>Medium</t>
        </is>
      </c>
      <c r="O104" s="3" t="inlineStr">
        <is>
          <t>Medium</t>
        </is>
      </c>
    </row>
    <row r="105" ht="15.75" customHeight="1" s="19">
      <c r="A105" s="3" t="n">
        <v>95</v>
      </c>
      <c r="B105" s="3" t="inlineStr">
        <is>
          <t>Zinc Octoate (Drier)</t>
        </is>
      </c>
      <c r="C105" s="3" t="inlineStr">
        <is>
          <t>Coating &amp; Inks</t>
        </is>
      </c>
      <c r="D105" s="3" t="inlineStr">
        <is>
          <t>382400</t>
        </is>
      </c>
      <c r="E105" s="3" t="inlineStr">
        <is>
          <t>Prepared paint and varnish driers</t>
        </is>
      </c>
      <c r="F105" s="3" t="inlineStr">
        <is>
          <t>Metal Soap / Drier</t>
        </is>
      </c>
      <c r="G105" s="3" t="inlineStr">
        <is>
          <t>High</t>
        </is>
      </c>
      <c r="H105" s="3" t="inlineStr">
        <is>
          <t>Paint drier (hardening)</t>
        </is>
      </c>
      <c r="I105" s="3" t="inlineStr">
        <is>
          <t>Rubber activator</t>
        </is>
      </c>
      <c r="J105" s="3" t="inlineStr">
        <is>
          <t>Bulk</t>
        </is>
      </c>
      <c r="K105" s="3" t="inlineStr">
        <is>
          <t>Organometallic Drier</t>
        </is>
      </c>
      <c r="L105" s="3" t="inlineStr">
        <is>
          <t>Paint manufacturers, rubber compounders</t>
        </is>
      </c>
      <c r="M105" s="3" t="inlineStr">
        <is>
          <t>Medium</t>
        </is>
      </c>
      <c r="N105" s="3" t="inlineStr">
        <is>
          <t>Medium</t>
        </is>
      </c>
      <c r="O105" s="3" t="inlineStr">
        <is>
          <t>Medium</t>
        </is>
      </c>
    </row>
    <row r="106" ht="15.75" customHeight="1" s="19">
      <c r="A106" s="3" t="n">
        <v>96</v>
      </c>
      <c r="B106" s="3" t="inlineStr">
        <is>
          <t>Carbon Black</t>
        </is>
      </c>
      <c r="C106" s="3" t="inlineStr">
        <is>
          <t>Coating &amp; Inks</t>
        </is>
      </c>
      <c r="D106" s="3" t="inlineStr">
        <is>
          <t>280300</t>
        </is>
      </c>
      <c r="E106" s="3" t="inlineStr">
        <is>
          <t>Carbon (carbon blacks and other forms of carbon nes)</t>
        </is>
      </c>
      <c r="F106" s="3" t="inlineStr">
        <is>
          <t>Pigment / Reinforcing Filler</t>
        </is>
      </c>
      <c r="G106" s="3" t="inlineStr">
        <is>
          <t>High</t>
        </is>
      </c>
      <c r="H106" s="3" t="inlineStr">
        <is>
          <t>Tire reinforcement, black pigment</t>
        </is>
      </c>
      <c r="I106" s="3" t="inlineStr">
        <is>
          <t>Conductive plastics, inks</t>
        </is>
      </c>
      <c r="J106" s="3" t="inlineStr">
        <is>
          <t>Bulk</t>
        </is>
      </c>
      <c r="K106" s="3" t="inlineStr">
        <is>
          <t>Carbon Material</t>
        </is>
      </c>
      <c r="L106" s="3" t="inlineStr">
        <is>
          <t>Tire manufacturers, ink producers, plastic compounders</t>
        </is>
      </c>
      <c r="M106" s="3" t="inlineStr">
        <is>
          <t>Low</t>
        </is>
      </c>
      <c r="N106" s="3" t="inlineStr">
        <is>
          <t>High</t>
        </is>
      </c>
      <c r="O106" s="3" t="inlineStr">
        <is>
          <t>Low</t>
        </is>
      </c>
    </row>
    <row r="107" ht="15.75" customHeight="1" s="19">
      <c r="A107" s="3" t="n">
        <v>97</v>
      </c>
      <c r="B107" s="3" t="inlineStr">
        <is>
          <t>Pentaerythritol</t>
        </is>
      </c>
      <c r="C107" s="3" t="inlineStr">
        <is>
          <t>Coating &amp; Inks</t>
        </is>
      </c>
      <c r="D107" s="3" t="inlineStr">
        <is>
          <t>290542</t>
        </is>
      </c>
      <c r="E107" s="3" t="inlineStr">
        <is>
          <t>Pentaerythritol</t>
        </is>
      </c>
      <c r="F107" s="3" t="inlineStr">
        <is>
          <t>Polyol</t>
        </is>
      </c>
      <c r="G107" s="3" t="inlineStr">
        <is>
          <t>High</t>
        </is>
      </c>
      <c r="H107" s="3" t="inlineStr">
        <is>
          <t>Alkyd resin production, explosives (PETN)</t>
        </is>
      </c>
      <c r="I107" s="3" t="inlineStr">
        <is>
          <t>Synthetic lubricants, coatings</t>
        </is>
      </c>
      <c r="J107" s="3" t="inlineStr">
        <is>
          <t>Bulk</t>
        </is>
      </c>
      <c r="K107" s="3" t="inlineStr">
        <is>
          <t>Polyhydric Alcohol</t>
        </is>
      </c>
      <c r="L107" s="3" t="inlineStr">
        <is>
          <t>Paint/coating companies, explosive manufacturers, lubricant makers</t>
        </is>
      </c>
      <c r="M107" s="3" t="inlineStr">
        <is>
          <t>Medium</t>
        </is>
      </c>
      <c r="N107" s="3" t="inlineStr">
        <is>
          <t>High</t>
        </is>
      </c>
      <c r="O107" s="3" t="inlineStr">
        <is>
          <t>Medium</t>
        </is>
      </c>
    </row>
    <row r="108" ht="15.75" customHeight="1" s="19">
      <c r="A108" s="3" t="n">
        <v>98</v>
      </c>
      <c r="B108" s="3" t="inlineStr">
        <is>
          <t>Anti-Foam</t>
        </is>
      </c>
      <c r="C108" s="3" t="inlineStr">
        <is>
          <t>Coating &amp; Inks</t>
        </is>
      </c>
      <c r="D108" s="3" t="inlineStr">
        <is>
          <t>382490</t>
        </is>
      </c>
      <c r="E108" s="3" t="inlineStr">
        <is>
          <t>Prepared chemical products nes</t>
        </is>
      </c>
      <c r="F108" s="3" t="inlineStr">
        <is>
          <t>Defoamer</t>
        </is>
      </c>
      <c r="G108" s="3" t="inlineStr">
        <is>
          <t>Medium</t>
        </is>
      </c>
      <c r="H108" s="3" t="inlineStr">
        <is>
          <t>Water treatment, paper manufacturing</t>
        </is>
      </c>
      <c r="I108" s="3" t="inlineStr">
        <is>
          <t>Food processing, textile dyeing</t>
        </is>
      </c>
      <c r="J108" s="3" t="inlineStr">
        <is>
          <t>Bulk</t>
        </is>
      </c>
      <c r="K108" s="3" t="inlineStr">
        <is>
          <t>Silicone / Non-silicone Defoamer</t>
        </is>
      </c>
      <c r="L108" s="3" t="inlineStr">
        <is>
          <t>Water treatment plants, paper mills, food processors</t>
        </is>
      </c>
      <c r="M108" s="3" t="inlineStr">
        <is>
          <t>Low</t>
        </is>
      </c>
      <c r="N108" s="3" t="inlineStr">
        <is>
          <t>Medium</t>
        </is>
      </c>
      <c r="O108" s="3" t="inlineStr">
        <is>
          <t>Medium</t>
        </is>
      </c>
    </row>
    <row r="109" ht="15.75" customHeight="1" s="19">
      <c r="A109" s="3" t="n">
        <v>99</v>
      </c>
      <c r="B109" s="3" t="inlineStr">
        <is>
          <t>Manganese Octoate (Drier)</t>
        </is>
      </c>
      <c r="C109" s="3" t="inlineStr">
        <is>
          <t>Coating &amp; Inks</t>
        </is>
      </c>
      <c r="D109" s="3" t="inlineStr">
        <is>
          <t>382400</t>
        </is>
      </c>
      <c r="E109" s="3" t="inlineStr">
        <is>
          <t>Prepared paint and varnish driers</t>
        </is>
      </c>
      <c r="F109" s="3" t="inlineStr">
        <is>
          <t>Metal Soap / Drier</t>
        </is>
      </c>
      <c r="G109" s="3" t="inlineStr">
        <is>
          <t>High</t>
        </is>
      </c>
      <c r="H109" s="3" t="inlineStr">
        <is>
          <t>Paint drier (surface drying)</t>
        </is>
      </c>
      <c r="I109" s="3" t="inlineStr">
        <is>
          <t>Alkyd resin catalyst</t>
        </is>
      </c>
      <c r="J109" s="3" t="inlineStr">
        <is>
          <t>Bulk</t>
        </is>
      </c>
      <c r="K109" s="3" t="inlineStr">
        <is>
          <t>Organometallic Drier</t>
        </is>
      </c>
      <c r="L109" s="3" t="inlineStr">
        <is>
          <t>Paint manufacturers, resin producers</t>
        </is>
      </c>
      <c r="M109" s="3" t="inlineStr">
        <is>
          <t>Medium</t>
        </is>
      </c>
      <c r="N109" s="3" t="inlineStr">
        <is>
          <t>Medium</t>
        </is>
      </c>
      <c r="O109" s="3" t="inlineStr">
        <is>
          <t>Medium</t>
        </is>
      </c>
    </row>
    <row r="110" ht="15.75" customHeight="1" s="19">
      <c r="A110" s="3" t="n">
        <v>100</v>
      </c>
      <c r="B110" s="3" t="inlineStr">
        <is>
          <t>Xylene</t>
        </is>
      </c>
      <c r="C110" s="3" t="inlineStr">
        <is>
          <t>Coating &amp; Inks</t>
        </is>
      </c>
      <c r="D110" s="3" t="inlineStr">
        <is>
          <t>290242</t>
        </is>
      </c>
      <c r="E110" s="3" t="inlineStr">
        <is>
          <t>Mixed xylenes</t>
        </is>
      </c>
      <c r="F110" s="3" t="inlineStr">
        <is>
          <t>Aromatic Solvent</t>
        </is>
      </c>
      <c r="G110" s="3" t="inlineStr">
        <is>
          <t>High</t>
        </is>
      </c>
      <c r="H110" s="3" t="inlineStr">
        <is>
          <t>Paint/coating solvent</t>
        </is>
      </c>
      <c r="I110" s="3" t="inlineStr">
        <is>
          <t>Chemical intermediate (PTA)</t>
        </is>
      </c>
      <c r="J110" s="3" t="inlineStr">
        <is>
          <t>Bulk</t>
        </is>
      </c>
      <c r="K110" s="3" t="inlineStr">
        <is>
          <t>Aromatic Hydrocarbon</t>
        </is>
      </c>
      <c r="L110" s="3" t="inlineStr">
        <is>
          <t>Paint companies, chemical manufacturers, printers</t>
        </is>
      </c>
      <c r="M110" s="3" t="inlineStr">
        <is>
          <t>Low</t>
        </is>
      </c>
      <c r="N110" s="3" t="inlineStr">
        <is>
          <t>High</t>
        </is>
      </c>
      <c r="O110" s="3" t="inlineStr">
        <is>
          <t>Low</t>
        </is>
      </c>
    </row>
    <row r="111" ht="15.75" customHeight="1" s="19">
      <c r="A111" s="3" t="n">
        <v>101</v>
      </c>
      <c r="B111" s="3" t="inlineStr">
        <is>
          <t>Methanol</t>
        </is>
      </c>
      <c r="C111" s="3" t="inlineStr">
        <is>
          <t>Coating &amp; Inks</t>
        </is>
      </c>
      <c r="D111" s="3" t="inlineStr">
        <is>
          <t>290511</t>
        </is>
      </c>
      <c r="E111" s="3" t="inlineStr">
        <is>
          <t>Methanol (methyl alcohol)</t>
        </is>
      </c>
      <c r="F111" s="3" t="inlineStr">
        <is>
          <t>Alcohol Solvent</t>
        </is>
      </c>
      <c r="G111" s="3" t="inlineStr">
        <is>
          <t>High</t>
        </is>
      </c>
      <c r="H111" s="3" t="inlineStr">
        <is>
          <t>Chemical feedstock (formaldehyde, acetic acid)</t>
        </is>
      </c>
      <c r="I111" s="3" t="inlineStr">
        <is>
          <t>Fuel blending, solvent</t>
        </is>
      </c>
      <c r="J111" s="3" t="inlineStr">
        <is>
          <t>Bulk</t>
        </is>
      </c>
      <c r="K111" s="3" t="inlineStr">
        <is>
          <t>Simple Alcohol</t>
        </is>
      </c>
      <c r="L111" s="3" t="inlineStr">
        <is>
          <t>Chemical manufacturers, fuel blenders, pharma</t>
        </is>
      </c>
      <c r="M111" s="3" t="inlineStr">
        <is>
          <t>Low</t>
        </is>
      </c>
      <c r="N111" s="3" t="inlineStr">
        <is>
          <t>High</t>
        </is>
      </c>
      <c r="O111" s="3" t="inlineStr">
        <is>
          <t>Low</t>
        </is>
      </c>
    </row>
    <row r="112" ht="15.75" customHeight="1" s="19">
      <c r="A112" s="11" t="n"/>
      <c r="B112" s="11" t="inlineStr">
        <is>
          <t>▶ Biologicals</t>
        </is>
      </c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</row>
    <row r="113" ht="15.75" customHeight="1" s="19">
      <c r="A113" s="3" t="n">
        <v>102</v>
      </c>
      <c r="B113" s="3" t="inlineStr">
        <is>
          <t>Mycorrhiza</t>
        </is>
      </c>
      <c r="C113" s="3" t="inlineStr">
        <is>
          <t>Biologicals</t>
        </is>
      </c>
      <c r="D113" s="3" t="inlineStr">
        <is>
          <t>310590</t>
        </is>
      </c>
      <c r="E113" s="3" t="inlineStr">
        <is>
          <t>Other mineral or chemical fertilisers</t>
        </is>
      </c>
      <c r="F113" s="3" t="inlineStr">
        <is>
          <t>Bio-stimulant</t>
        </is>
      </c>
      <c r="G113" s="3" t="inlineStr">
        <is>
          <t>Medium</t>
        </is>
      </c>
      <c r="H113" s="3" t="inlineStr">
        <is>
          <t>Root colonization for nutrient uptake</t>
        </is>
      </c>
      <c r="I113" s="3" t="inlineStr">
        <is>
          <t>Soil health improvement</t>
        </is>
      </c>
      <c r="J113" s="3" t="inlineStr">
        <is>
          <t>Active</t>
        </is>
      </c>
      <c r="K113" s="3" t="inlineStr">
        <is>
          <t>Beneficial Fungus</t>
        </is>
      </c>
      <c r="L113" s="3" t="inlineStr">
        <is>
          <t>Organic farming companies, nurseries</t>
        </is>
      </c>
      <c r="M113" s="3" t="inlineStr">
        <is>
          <t>Low</t>
        </is>
      </c>
      <c r="N113" s="3" t="inlineStr">
        <is>
          <t>Low</t>
        </is>
      </c>
      <c r="O113" s="3" t="inlineStr">
        <is>
          <t>High</t>
        </is>
      </c>
    </row>
    <row r="114" ht="15.75" customHeight="1" s="19">
      <c r="A114" s="3" t="n">
        <v>103</v>
      </c>
      <c r="B114" s="3" t="inlineStr">
        <is>
          <t>Amino Acid</t>
        </is>
      </c>
      <c r="C114" s="3" t="inlineStr">
        <is>
          <t>Biologicals</t>
        </is>
      </c>
      <c r="D114" s="3" t="inlineStr">
        <is>
          <t>292249</t>
        </is>
      </c>
      <c r="E114" s="3" t="inlineStr">
        <is>
          <t>Other amino acids and their esters; salts thereof</t>
        </is>
      </c>
      <c r="F114" s="3" t="inlineStr">
        <is>
          <t>Bio-stimulant / Nutrient</t>
        </is>
      </c>
      <c r="G114" s="3" t="inlineStr">
        <is>
          <t>High</t>
        </is>
      </c>
      <c r="H114" s="3" t="inlineStr">
        <is>
          <t>Foliar nutrition, stress tolerance</t>
        </is>
      </c>
      <c r="I114" s="3" t="inlineStr">
        <is>
          <t>Pharma, food supplement</t>
        </is>
      </c>
      <c r="J114" s="3" t="inlineStr">
        <is>
          <t>Active</t>
        </is>
      </c>
      <c r="K114" s="3" t="inlineStr">
        <is>
          <t>Amino Acid Complex</t>
        </is>
      </c>
      <c r="L114" s="3" t="inlineStr">
        <is>
          <t>Agrochemical companies, pharma, food processors</t>
        </is>
      </c>
      <c r="M114" s="3" t="inlineStr">
        <is>
          <t>Medium</t>
        </is>
      </c>
      <c r="N114" s="3" t="inlineStr">
        <is>
          <t>Medium</t>
        </is>
      </c>
      <c r="O114" s="3" t="inlineStr">
        <is>
          <t>Medium</t>
        </is>
      </c>
    </row>
    <row r="115" ht="15.75" customHeight="1" s="19">
      <c r="A115" s="3" t="n">
        <v>104</v>
      </c>
      <c r="B115" s="3" t="inlineStr">
        <is>
          <t>Potassium Humate</t>
        </is>
      </c>
      <c r="C115" s="3" t="inlineStr">
        <is>
          <t>Biologicals</t>
        </is>
      </c>
      <c r="D115" s="3" t="inlineStr">
        <is>
          <t>310100</t>
        </is>
      </c>
      <c r="E115" s="3" t="inlineStr">
        <is>
          <t>Animal or vegetable fertilisers</t>
        </is>
      </c>
      <c r="F115" s="3" t="inlineStr">
        <is>
          <t>Organic Soil Conditioner</t>
        </is>
      </c>
      <c r="G115" s="3" t="inlineStr">
        <is>
          <t>High</t>
        </is>
      </c>
      <c r="H115" s="3" t="inlineStr">
        <is>
          <t>Soil structure improvement</t>
        </is>
      </c>
      <c r="I115" s="3" t="inlineStr">
        <is>
          <t>Fertigation, foliar spray</t>
        </is>
      </c>
      <c r="J115" s="3" t="inlineStr">
        <is>
          <t>Bulk</t>
        </is>
      </c>
      <c r="K115" s="3" t="inlineStr">
        <is>
          <t>Humic Substance</t>
        </is>
      </c>
      <c r="L115" s="3" t="inlineStr">
        <is>
          <t>Organic farming companies, fertilizer blenders</t>
        </is>
      </c>
      <c r="M115" s="3" t="inlineStr">
        <is>
          <t>Low</t>
        </is>
      </c>
      <c r="N115" s="3" t="inlineStr">
        <is>
          <t>Medium</t>
        </is>
      </c>
      <c r="O115" s="3" t="inlineStr">
        <is>
          <t>Low</t>
        </is>
      </c>
    </row>
    <row r="116" ht="15.75" customHeight="1" s="19">
      <c r="A116" s="3" t="n">
        <v>105</v>
      </c>
      <c r="B116" s="3" t="inlineStr">
        <is>
          <t>Seaweed Extract</t>
        </is>
      </c>
      <c r="C116" s="3" t="inlineStr">
        <is>
          <t>Biologicals</t>
        </is>
      </c>
      <c r="D116" s="3" t="inlineStr">
        <is>
          <t>130219</t>
        </is>
      </c>
      <c r="E116" s="3" t="inlineStr">
        <is>
          <t>Other vegetable saps and extracts nes</t>
        </is>
      </c>
      <c r="F116" s="3" t="inlineStr">
        <is>
          <t>Bio-stimulant</t>
        </is>
      </c>
      <c r="G116" s="3" t="inlineStr">
        <is>
          <t>High</t>
        </is>
      </c>
      <c r="H116" s="3" t="inlineStr">
        <is>
          <t>Plant growth promoter, stress tolerance</t>
        </is>
      </c>
      <c r="I116" s="3" t="inlineStr">
        <is>
          <t>Organic crop production</t>
        </is>
      </c>
      <c r="J116" s="3" t="inlineStr">
        <is>
          <t>Active</t>
        </is>
      </c>
      <c r="K116" s="3" t="inlineStr">
        <is>
          <t>Marine Extract</t>
        </is>
      </c>
      <c r="L116" s="3" t="inlineStr">
        <is>
          <t>Organic agrochemical companies, specialty fertilizer brands</t>
        </is>
      </c>
      <c r="M116" s="3" t="inlineStr">
        <is>
          <t>Medium</t>
        </is>
      </c>
      <c r="N116" s="3" t="inlineStr">
        <is>
          <t>Medium</t>
        </is>
      </c>
      <c r="O116" s="3" t="inlineStr">
        <is>
          <t>High</t>
        </is>
      </c>
    </row>
    <row r="117" ht="15.75" customHeight="1" s="19">
      <c r="A117" s="3" t="n">
        <v>106</v>
      </c>
      <c r="B117" s="3" t="inlineStr">
        <is>
          <t>Trichoderma</t>
        </is>
      </c>
      <c r="C117" s="3" t="inlineStr">
        <is>
          <t>Biologicals</t>
        </is>
      </c>
      <c r="D117" s="3" t="inlineStr">
        <is>
          <t>310590</t>
        </is>
      </c>
      <c r="E117" s="3" t="inlineStr">
        <is>
          <t>Other mineral or chemical fertilisers</t>
        </is>
      </c>
      <c r="F117" s="3" t="inlineStr">
        <is>
          <t>Bio-fungicide</t>
        </is>
      </c>
      <c r="G117" s="3" t="inlineStr">
        <is>
          <t>Medium</t>
        </is>
      </c>
      <c r="H117" s="3" t="inlineStr">
        <is>
          <t>Soil-borne disease biocontrol</t>
        </is>
      </c>
      <c r="I117" s="3" t="inlineStr">
        <is>
          <t>Seed treatment</t>
        </is>
      </c>
      <c r="J117" s="3" t="inlineStr">
        <is>
          <t>Active</t>
        </is>
      </c>
      <c r="K117" s="3" t="inlineStr">
        <is>
          <t>Beneficial Fungus</t>
        </is>
      </c>
      <c r="L117" s="3" t="inlineStr">
        <is>
          <t>Bio-pesticide companies, organic farmers</t>
        </is>
      </c>
      <c r="M117" s="3" t="inlineStr">
        <is>
          <t>Low</t>
        </is>
      </c>
      <c r="N117" s="3" t="inlineStr">
        <is>
          <t>Low</t>
        </is>
      </c>
      <c r="O117" s="3" t="inlineStr">
        <is>
          <t>High</t>
        </is>
      </c>
    </row>
    <row r="118" ht="15.75" customHeight="1" s="19">
      <c r="A118" s="11" t="n"/>
      <c r="B118" s="11" t="inlineStr">
        <is>
          <t>▶ Food Ingredients</t>
        </is>
      </c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</row>
    <row r="119" ht="15.75" customHeight="1" s="19">
      <c r="A119" s="3" t="n">
        <v>107</v>
      </c>
      <c r="B119" s="3" t="inlineStr">
        <is>
          <t>Capsicum Oleoresin</t>
        </is>
      </c>
      <c r="C119" s="3" t="inlineStr">
        <is>
          <t>Food Ingredients</t>
        </is>
      </c>
      <c r="D119" s="3" t="inlineStr">
        <is>
          <t>130219</t>
        </is>
      </c>
      <c r="E119" s="3" t="inlineStr">
        <is>
          <t>Other vegetable saps and extracts nes</t>
        </is>
      </c>
      <c r="F119" s="3" t="inlineStr">
        <is>
          <t>Natural Extract</t>
        </is>
      </c>
      <c r="G119" s="3" t="inlineStr">
        <is>
          <t>High</t>
        </is>
      </c>
      <c r="H119" s="3" t="inlineStr">
        <is>
          <t>Food coloring &amp; flavoring</t>
        </is>
      </c>
      <c r="I119" s="3" t="inlineStr">
        <is>
          <t>Pharma (capsaicin source)</t>
        </is>
      </c>
      <c r="J119" s="3" t="inlineStr">
        <is>
          <t>Active</t>
        </is>
      </c>
      <c r="K119" s="3" t="inlineStr">
        <is>
          <t>Oleoresin Extract</t>
        </is>
      </c>
      <c r="L119" s="3" t="inlineStr">
        <is>
          <t>Spice processors, food manufacturers, pharma</t>
        </is>
      </c>
      <c r="M119" s="3" t="inlineStr">
        <is>
          <t>High</t>
        </is>
      </c>
      <c r="N119" s="3" t="inlineStr">
        <is>
          <t>Medium</t>
        </is>
      </c>
      <c r="O119" s="3" t="inlineStr">
        <is>
          <t>High</t>
        </is>
      </c>
    </row>
    <row r="120" ht="15.75" customHeight="1" s="19">
      <c r="A120" s="3" t="n">
        <v>108</v>
      </c>
      <c r="B120" s="3" t="inlineStr">
        <is>
          <t>Paprika Oleoresin</t>
        </is>
      </c>
      <c r="C120" s="3" t="inlineStr">
        <is>
          <t>Food Ingredients</t>
        </is>
      </c>
      <c r="D120" s="3" t="inlineStr">
        <is>
          <t>130219</t>
        </is>
      </c>
      <c r="E120" s="3" t="inlineStr">
        <is>
          <t>Other vegetable saps and extracts nes</t>
        </is>
      </c>
      <c r="F120" s="3" t="inlineStr">
        <is>
          <t>Natural Colorant</t>
        </is>
      </c>
      <c r="G120" s="3" t="inlineStr">
        <is>
          <t>High</t>
        </is>
      </c>
      <c r="H120" s="3" t="inlineStr">
        <is>
          <t>Food coloring (red/orange)</t>
        </is>
      </c>
      <c r="I120" s="3" t="inlineStr">
        <is>
          <t>Cosmetic colorant</t>
        </is>
      </c>
      <c r="J120" s="3" t="inlineStr">
        <is>
          <t>Active</t>
        </is>
      </c>
      <c r="K120" s="3" t="inlineStr">
        <is>
          <t>Oleoresin Extract</t>
        </is>
      </c>
      <c r="L120" s="3" t="inlineStr">
        <is>
          <t>Food manufacturers, poultry feed, cosmetics</t>
        </is>
      </c>
      <c r="M120" s="3" t="inlineStr">
        <is>
          <t>High</t>
        </is>
      </c>
      <c r="N120" s="3" t="inlineStr">
        <is>
          <t>Medium</t>
        </is>
      </c>
      <c r="O120" s="3" t="inlineStr">
        <is>
          <t>High</t>
        </is>
      </c>
    </row>
    <row r="121" ht="15.75" customHeight="1" s="19">
      <c r="A121" s="3" t="n">
        <v>109</v>
      </c>
      <c r="B121" s="3" t="inlineStr">
        <is>
          <t>Soya Lecithin Food Grade</t>
        </is>
      </c>
      <c r="C121" s="3" t="inlineStr">
        <is>
          <t>Food Ingredients</t>
        </is>
      </c>
      <c r="D121" s="3" t="inlineStr">
        <is>
          <t>292290</t>
        </is>
      </c>
      <c r="E121" s="3" t="inlineStr">
        <is>
          <t>Lecithins and other phosphoaminolipids</t>
        </is>
      </c>
      <c r="F121" s="3" t="inlineStr">
        <is>
          <t>Natural Emulsifier</t>
        </is>
      </c>
      <c r="G121" s="3" t="inlineStr">
        <is>
          <t>High</t>
        </is>
      </c>
      <c r="H121" s="3" t="inlineStr">
        <is>
          <t>Chocolate, baked goods emulsifier</t>
        </is>
      </c>
      <c r="I121" s="3" t="inlineStr">
        <is>
          <t>Pharma (liposome delivery)</t>
        </is>
      </c>
      <c r="J121" s="3" t="inlineStr">
        <is>
          <t>Bulk</t>
        </is>
      </c>
      <c r="K121" s="3" t="inlineStr">
        <is>
          <t>Phospholipid</t>
        </is>
      </c>
      <c r="L121" s="3" t="inlineStr">
        <is>
          <t>Chocolate/confectionery, bakeries, pharma</t>
        </is>
      </c>
      <c r="M121" s="3" t="inlineStr">
        <is>
          <t>Low</t>
        </is>
      </c>
      <c r="N121" s="3" t="inlineStr">
        <is>
          <t>High</t>
        </is>
      </c>
      <c r="O121" s="3" t="inlineStr">
        <is>
          <t>Low</t>
        </is>
      </c>
    </row>
    <row r="122" ht="15.75" customHeight="1" s="19">
      <c r="A122" s="3" t="n">
        <v>110</v>
      </c>
      <c r="B122" s="3" t="inlineStr">
        <is>
          <t>Casein</t>
        </is>
      </c>
      <c r="C122" s="3" t="inlineStr">
        <is>
          <t>Food Ingredients</t>
        </is>
      </c>
      <c r="D122" s="3" t="inlineStr">
        <is>
          <t>350110</t>
        </is>
      </c>
      <c r="E122" s="3" t="inlineStr">
        <is>
          <t>Casein</t>
        </is>
      </c>
      <c r="F122" s="3" t="inlineStr">
        <is>
          <t>Milk Protein</t>
        </is>
      </c>
      <c r="G122" s="3" t="inlineStr">
        <is>
          <t>High</t>
        </is>
      </c>
      <c r="H122" s="3" t="inlineStr">
        <is>
          <t>Cheese production, protein supplement</t>
        </is>
      </c>
      <c r="I122" s="3" t="inlineStr">
        <is>
          <t>Adhesives, paints</t>
        </is>
      </c>
      <c r="J122" s="3" t="inlineStr">
        <is>
          <t>Bulk</t>
        </is>
      </c>
      <c r="K122" s="3" t="inlineStr">
        <is>
          <t>Dairy Protein</t>
        </is>
      </c>
      <c r="L122" s="3" t="inlineStr">
        <is>
          <t>Dairy processors, food manufacturers, supplement brands</t>
        </is>
      </c>
      <c r="M122" s="3" t="inlineStr">
        <is>
          <t>Medium</t>
        </is>
      </c>
      <c r="N122" s="3" t="inlineStr">
        <is>
          <t>High</t>
        </is>
      </c>
      <c r="O122" s="3" t="inlineStr">
        <is>
          <t>Medium</t>
        </is>
      </c>
    </row>
    <row r="123" ht="15.75" customHeight="1" s="19">
      <c r="A123" s="3" t="n">
        <v>111</v>
      </c>
      <c r="B123" s="3" t="inlineStr">
        <is>
          <t>Sodium Caseinate</t>
        </is>
      </c>
      <c r="C123" s="3" t="inlineStr">
        <is>
          <t>Food Ingredients</t>
        </is>
      </c>
      <c r="D123" s="3" t="inlineStr">
        <is>
          <t>350190</t>
        </is>
      </c>
      <c r="E123" s="3" t="inlineStr">
        <is>
          <t>Caseinates and other casein derivatives</t>
        </is>
      </c>
      <c r="F123" s="3" t="inlineStr">
        <is>
          <t>Protein Derivative</t>
        </is>
      </c>
      <c r="G123" s="3" t="inlineStr">
        <is>
          <t>High</t>
        </is>
      </c>
      <c r="H123" s="3" t="inlineStr">
        <is>
          <t>Coffee creamers, protein beverages</t>
        </is>
      </c>
      <c r="I123" s="3" t="inlineStr">
        <is>
          <t>Meat processing emulsifier</t>
        </is>
      </c>
      <c r="J123" s="3" t="inlineStr">
        <is>
          <t>Bulk</t>
        </is>
      </c>
      <c r="K123" s="3" t="inlineStr">
        <is>
          <t>Modified Dairy Protein</t>
        </is>
      </c>
      <c r="L123" s="3" t="inlineStr">
        <is>
          <t>Food manufacturers, beverage companies</t>
        </is>
      </c>
      <c r="M123" s="3" t="inlineStr">
        <is>
          <t>Medium</t>
        </is>
      </c>
      <c r="N123" s="3" t="inlineStr">
        <is>
          <t>Medium</t>
        </is>
      </c>
      <c r="O123" s="3" t="inlineStr">
        <is>
          <t>Medium</t>
        </is>
      </c>
    </row>
    <row r="124" ht="15.75" customHeight="1" s="19">
      <c r="A124" s="3" t="n">
        <v>112</v>
      </c>
      <c r="B124" s="3" t="inlineStr">
        <is>
          <t>Modified Starch</t>
        </is>
      </c>
      <c r="C124" s="3" t="inlineStr">
        <is>
          <t>Food Ingredients</t>
        </is>
      </c>
      <c r="D124" s="3" t="inlineStr">
        <is>
          <t>350510</t>
        </is>
      </c>
      <c r="E124" s="3" t="inlineStr">
        <is>
          <t>Dextrins and other modified starches</t>
        </is>
      </c>
      <c r="F124" s="3" t="inlineStr">
        <is>
          <t>Polysaccharide</t>
        </is>
      </c>
      <c r="G124" s="3" t="inlineStr">
        <is>
          <t>High</t>
        </is>
      </c>
      <c r="H124" s="3" t="inlineStr">
        <is>
          <t>Food thickener, paper sizing</t>
        </is>
      </c>
      <c r="I124" s="3" t="inlineStr">
        <is>
          <t>Textile sizing, adhesives</t>
        </is>
      </c>
      <c r="J124" s="3" t="inlineStr">
        <is>
          <t>Bulk</t>
        </is>
      </c>
      <c r="K124" s="3" t="inlineStr">
        <is>
          <t>Modified Carbohydrate</t>
        </is>
      </c>
      <c r="L124" s="3" t="inlineStr">
        <is>
          <t>Food processors, paper mills, textile mills</t>
        </is>
      </c>
      <c r="M124" s="3" t="inlineStr">
        <is>
          <t>Low</t>
        </is>
      </c>
      <c r="N124" s="3" t="inlineStr">
        <is>
          <t>High</t>
        </is>
      </c>
      <c r="O124" s="3" t="inlineStr">
        <is>
          <t>Low</t>
        </is>
      </c>
    </row>
    <row r="125" ht="15.75" customHeight="1" s="19">
      <c r="A125" s="3" t="n">
        <v>113</v>
      </c>
      <c r="B125" s="3" t="inlineStr">
        <is>
          <t>Centella Oil</t>
        </is>
      </c>
      <c r="C125" s="3" t="inlineStr">
        <is>
          <t>Food Ingredients</t>
        </is>
      </c>
      <c r="D125" s="3" t="inlineStr">
        <is>
          <t>130219</t>
        </is>
      </c>
      <c r="E125" s="3" t="inlineStr">
        <is>
          <t>Other vegetable saps and extracts nes</t>
        </is>
      </c>
      <c r="F125" s="3" t="inlineStr">
        <is>
          <t>Botanical Extract</t>
        </is>
      </c>
      <c r="G125" s="3" t="inlineStr">
        <is>
          <t>High</t>
        </is>
      </c>
      <c r="H125" s="3" t="inlineStr">
        <is>
          <t>Wound healing formulations</t>
        </is>
      </c>
      <c r="I125" s="3" t="inlineStr">
        <is>
          <t>Anti-aging skin care</t>
        </is>
      </c>
      <c r="J125" s="3" t="inlineStr">
        <is>
          <t>Active</t>
        </is>
      </c>
      <c r="K125" s="3" t="inlineStr">
        <is>
          <t>Herbal Extract</t>
        </is>
      </c>
      <c r="L125" s="3" t="inlineStr">
        <is>
          <t>Cosmetic formulators, pharma companies</t>
        </is>
      </c>
      <c r="M125" s="3" t="inlineStr">
        <is>
          <t>High</t>
        </is>
      </c>
      <c r="N125" s="3" t="inlineStr">
        <is>
          <t>Low</t>
        </is>
      </c>
      <c r="O125" s="3" t="inlineStr">
        <is>
          <t>High</t>
        </is>
      </c>
    </row>
    <row r="126" ht="15.75" customHeight="1" s="19">
      <c r="A126" s="3" t="n">
        <v>114</v>
      </c>
      <c r="B126" s="3" t="inlineStr">
        <is>
          <t>Potassium Carbonate (Food Grade)</t>
        </is>
      </c>
      <c r="C126" s="3" t="inlineStr">
        <is>
          <t>Food Ingredients</t>
        </is>
      </c>
      <c r="D126" s="3" t="inlineStr">
        <is>
          <t>283640</t>
        </is>
      </c>
      <c r="E126" s="3" t="inlineStr">
        <is>
          <t>Potassium carbonate</t>
        </is>
      </c>
      <c r="F126" s="3" t="inlineStr">
        <is>
          <t>Food Grade Salt</t>
        </is>
      </c>
      <c r="G126" s="3" t="inlineStr">
        <is>
          <t>High</t>
        </is>
      </c>
      <c r="H126" s="3" t="inlineStr">
        <is>
          <t>Cocoa alkalizing, baking</t>
        </is>
      </c>
      <c r="I126" s="3" t="inlineStr">
        <is>
          <t>Wine production pH adjustment</t>
        </is>
      </c>
      <c r="J126" s="3" t="inlineStr">
        <is>
          <t>Bulk</t>
        </is>
      </c>
      <c r="K126" s="3" t="inlineStr">
        <is>
          <t>Alkali Metal Salt</t>
        </is>
      </c>
      <c r="L126" s="3" t="inlineStr">
        <is>
          <t>Cocoa processors, bakeries, beverage manufacturers</t>
        </is>
      </c>
      <c r="M126" s="3" t="inlineStr">
        <is>
          <t>Low</t>
        </is>
      </c>
      <c r="N126" s="3" t="inlineStr">
        <is>
          <t>Medium</t>
        </is>
      </c>
      <c r="O126" s="3" t="inlineStr">
        <is>
          <t>Low</t>
        </is>
      </c>
    </row>
    <row r="127" ht="15.75" customHeight="1" s="19">
      <c r="A127" s="3" t="n">
        <v>115</v>
      </c>
      <c r="B127" s="3" t="inlineStr">
        <is>
          <t>Cocoa Powder</t>
        </is>
      </c>
      <c r="C127" s="3" t="inlineStr">
        <is>
          <t>Food Ingredients</t>
        </is>
      </c>
      <c r="D127" s="3" t="inlineStr">
        <is>
          <t>180500</t>
        </is>
      </c>
      <c r="E127" s="3" t="inlineStr">
        <is>
          <t>Cocoa powder, not containing added sugar</t>
        </is>
      </c>
      <c r="F127" s="3" t="inlineStr">
        <is>
          <t>Food Ingredient</t>
        </is>
      </c>
      <c r="G127" s="3" t="inlineStr">
        <is>
          <t>High</t>
        </is>
      </c>
      <c r="H127" s="3" t="inlineStr">
        <is>
          <t>Chocolate, beverages, baking</t>
        </is>
      </c>
      <c r="I127" s="3" t="inlineStr">
        <is>
          <t>Confectionery</t>
        </is>
      </c>
      <c r="J127" s="3" t="inlineStr">
        <is>
          <t>Bulk</t>
        </is>
      </c>
      <c r="K127" s="3" t="inlineStr">
        <is>
          <t>Plant-derived Powder</t>
        </is>
      </c>
      <c r="L127" s="3" t="inlineStr">
        <is>
          <t>Chocolate manufacturers, bakeries, beverage companies</t>
        </is>
      </c>
      <c r="M127" s="3" t="inlineStr">
        <is>
          <t>Medium</t>
        </is>
      </c>
      <c r="N127" s="3" t="inlineStr">
        <is>
          <t>High</t>
        </is>
      </c>
      <c r="O127" s="3" t="inlineStr">
        <is>
          <t>Medium</t>
        </is>
      </c>
    </row>
    <row r="128" ht="15.75" customHeight="1" s="19">
      <c r="A128" s="3" t="n">
        <v>116</v>
      </c>
      <c r="B128" s="3" t="inlineStr">
        <is>
          <t>Virgin Coconut Oil (VCO)</t>
        </is>
      </c>
      <c r="C128" s="3" t="inlineStr">
        <is>
          <t>Food Ingredients</t>
        </is>
      </c>
      <c r="D128" s="3" t="inlineStr">
        <is>
          <t>151319</t>
        </is>
      </c>
      <c r="E128" s="3" t="inlineStr">
        <is>
          <t>Coconut (copra) oil - other</t>
        </is>
      </c>
      <c r="F128" s="3" t="inlineStr">
        <is>
          <t>Vegetable Oil</t>
        </is>
      </c>
      <c r="G128" s="3" t="inlineStr">
        <is>
          <t>High</t>
        </is>
      </c>
      <c r="H128" s="3" t="inlineStr">
        <is>
          <t>Cooking, cosmetics, pharma</t>
        </is>
      </c>
      <c r="I128" s="3" t="inlineStr">
        <is>
          <t>Dietary supplement</t>
        </is>
      </c>
      <c r="J128" s="3" t="inlineStr">
        <is>
          <t>Bulk</t>
        </is>
      </c>
      <c r="K128" s="3" t="inlineStr">
        <is>
          <t>Lauric Oil</t>
        </is>
      </c>
      <c r="L128" s="3" t="inlineStr">
        <is>
          <t>Food manufacturers, cosmetic brands, health food companies</t>
        </is>
      </c>
      <c r="M128" s="3" t="inlineStr">
        <is>
          <t>Medium</t>
        </is>
      </c>
      <c r="N128" s="3" t="inlineStr">
        <is>
          <t>High</t>
        </is>
      </c>
      <c r="O128" s="3" t="inlineStr">
        <is>
          <t>Medium</t>
        </is>
      </c>
    </row>
    <row r="129" ht="15.75" customHeight="1" s="19">
      <c r="A129" s="3" t="n">
        <v>117</v>
      </c>
      <c r="B129" s="3" t="inlineStr">
        <is>
          <t>Glycerin Stearic Acid (GMS)</t>
        </is>
      </c>
      <c r="C129" s="3" t="inlineStr">
        <is>
          <t>Food Ingredients</t>
        </is>
      </c>
      <c r="D129" s="3" t="inlineStr">
        <is>
          <t>291590</t>
        </is>
      </c>
      <c r="E129" s="3" t="inlineStr">
        <is>
          <t>Other esters of saturated acyclic monocarboxylic acids</t>
        </is>
      </c>
      <c r="F129" s="3" t="inlineStr">
        <is>
          <t>Emulsifier</t>
        </is>
      </c>
      <c r="G129" s="3" t="inlineStr">
        <is>
          <t>High</t>
        </is>
      </c>
      <c r="H129" s="3" t="inlineStr">
        <is>
          <t>Food emulsifier (baked goods, ice cream)</t>
        </is>
      </c>
      <c r="I129" s="3" t="inlineStr">
        <is>
          <t>Cosmetic emulsifier</t>
        </is>
      </c>
      <c r="J129" s="3" t="inlineStr">
        <is>
          <t>Bulk</t>
        </is>
      </c>
      <c r="K129" s="3" t="inlineStr">
        <is>
          <t>Glyceryl Ester</t>
        </is>
      </c>
      <c r="L129" s="3" t="inlineStr">
        <is>
          <t>Food manufacturers, bakeries, cosmetic formulators</t>
        </is>
      </c>
      <c r="M129" s="3" t="inlineStr">
        <is>
          <t>Low</t>
        </is>
      </c>
      <c r="N129" s="3" t="inlineStr">
        <is>
          <t>High</t>
        </is>
      </c>
      <c r="O129" s="3" t="inlineStr">
        <is>
          <t>Low</t>
        </is>
      </c>
    </row>
    <row r="130" ht="15.75" customHeight="1" s="19">
      <c r="A130" s="3" t="n">
        <v>118</v>
      </c>
      <c r="B130" s="3" t="inlineStr">
        <is>
          <t>Herbal Extracts</t>
        </is>
      </c>
      <c r="C130" s="3" t="inlineStr">
        <is>
          <t>Food Ingredients</t>
        </is>
      </c>
      <c r="D130" s="3" t="inlineStr">
        <is>
          <t>130219</t>
        </is>
      </c>
      <c r="E130" s="3" t="inlineStr">
        <is>
          <t>Other vegetable saps and extracts nes</t>
        </is>
      </c>
      <c r="F130" s="3" t="inlineStr">
        <is>
          <t>Botanical Blend</t>
        </is>
      </c>
      <c r="G130" s="3" t="inlineStr">
        <is>
          <t>Medium</t>
        </is>
      </c>
      <c r="H130" s="3" t="inlineStr">
        <is>
          <t>Nutraceuticals, functional food</t>
        </is>
      </c>
      <c r="I130" s="3" t="inlineStr">
        <is>
          <t>Cosmetic active ingredients</t>
        </is>
      </c>
      <c r="J130" s="3" t="inlineStr">
        <is>
          <t>Active</t>
        </is>
      </c>
      <c r="K130" s="3" t="inlineStr">
        <is>
          <t>Plant Extract</t>
        </is>
      </c>
      <c r="L130" s="3" t="inlineStr">
        <is>
          <t>Nutraceutical companies, cosmetic formulators</t>
        </is>
      </c>
      <c r="M130" s="3" t="inlineStr">
        <is>
          <t>Medium</t>
        </is>
      </c>
      <c r="N130" s="3" t="inlineStr">
        <is>
          <t>Medium</t>
        </is>
      </c>
      <c r="O130" s="3" t="inlineStr">
        <is>
          <t>High</t>
        </is>
      </c>
    </row>
    <row r="131" ht="15.75" customHeight="1" s="19">
      <c r="A131" s="3" t="n">
        <v>119</v>
      </c>
      <c r="B131" s="3" t="inlineStr">
        <is>
          <t>Phyto Extracts</t>
        </is>
      </c>
      <c r="C131" s="3" t="inlineStr">
        <is>
          <t>Food Ingredients</t>
        </is>
      </c>
      <c r="D131" s="3" t="inlineStr">
        <is>
          <t>130219</t>
        </is>
      </c>
      <c r="E131" s="3" t="inlineStr">
        <is>
          <t>Other vegetable saps and extracts nes</t>
        </is>
      </c>
      <c r="F131" s="3" t="inlineStr">
        <is>
          <t>Botanical Concentrate</t>
        </is>
      </c>
      <c r="G131" s="3" t="inlineStr">
        <is>
          <t>Medium</t>
        </is>
      </c>
      <c r="H131" s="3" t="inlineStr">
        <is>
          <t>Dietary supplements, functional food</t>
        </is>
      </c>
      <c r="I131" s="3" t="inlineStr">
        <is>
          <t>Pharma intermediates</t>
        </is>
      </c>
      <c r="J131" s="3" t="inlineStr">
        <is>
          <t>Active</t>
        </is>
      </c>
      <c r="K131" s="3" t="inlineStr">
        <is>
          <t>Plant Extract</t>
        </is>
      </c>
      <c r="L131" s="3" t="inlineStr">
        <is>
          <t>Supplement brands, pharma companies</t>
        </is>
      </c>
      <c r="M131" s="3" t="inlineStr">
        <is>
          <t>Medium</t>
        </is>
      </c>
      <c r="N131" s="3" t="inlineStr">
        <is>
          <t>Low</t>
        </is>
      </c>
      <c r="O131" s="3" t="inlineStr">
        <is>
          <t>High</t>
        </is>
      </c>
    </row>
    <row r="132" ht="15.75" customHeight="1" s="19">
      <c r="A132" s="3" t="n">
        <v>120</v>
      </c>
      <c r="B132" s="3" t="inlineStr">
        <is>
          <t>Sweeteners</t>
        </is>
      </c>
      <c r="C132" s="3" t="inlineStr">
        <is>
          <t>Food Ingredients</t>
        </is>
      </c>
      <c r="D132" s="3" t="inlineStr">
        <is>
          <t>170290</t>
        </is>
      </c>
      <c r="E132" s="3" t="inlineStr">
        <is>
          <t>Other sugars nes</t>
        </is>
      </c>
      <c r="F132" s="3" t="inlineStr">
        <is>
          <t>Food Additive</t>
        </is>
      </c>
      <c r="G132" s="3" t="inlineStr">
        <is>
          <t>High</t>
        </is>
      </c>
      <c r="H132" s="3" t="inlineStr">
        <is>
          <t>Sugar-free beverages, confectionery</t>
        </is>
      </c>
      <c r="I132" s="3" t="inlineStr">
        <is>
          <t>Pharma tablet coating</t>
        </is>
      </c>
      <c r="J132" s="3" t="inlineStr">
        <is>
          <t>Bulk</t>
        </is>
      </c>
      <c r="K132" s="3" t="inlineStr">
        <is>
          <t>Synthetic / Natural Sweetener</t>
        </is>
      </c>
      <c r="L132" s="3" t="inlineStr">
        <is>
          <t>Beverage companies, confectioners, pharma</t>
        </is>
      </c>
      <c r="M132" s="3" t="inlineStr">
        <is>
          <t>Low</t>
        </is>
      </c>
      <c r="N132" s="3" t="inlineStr">
        <is>
          <t>High</t>
        </is>
      </c>
      <c r="O132" s="3" t="inlineStr">
        <is>
          <t>Low</t>
        </is>
      </c>
    </row>
    <row r="133" ht="15.75" customHeight="1" s="19">
      <c r="A133" s="3" t="n">
        <v>121</v>
      </c>
      <c r="B133" s="3" t="inlineStr">
        <is>
          <t>Whey Proteins</t>
        </is>
      </c>
      <c r="C133" s="3" t="inlineStr">
        <is>
          <t>Food Ingredients</t>
        </is>
      </c>
      <c r="D133" s="3" t="inlineStr">
        <is>
          <t>350490</t>
        </is>
      </c>
      <c r="E133" s="3" t="inlineStr">
        <is>
          <t>Albumins, albuminates and other albumin derivatives</t>
        </is>
      </c>
      <c r="F133" s="3" t="inlineStr">
        <is>
          <t>Dairy Protein</t>
        </is>
      </c>
      <c r="G133" s="3" t="inlineStr">
        <is>
          <t>High</t>
        </is>
      </c>
      <c r="H133" s="3" t="inlineStr">
        <is>
          <t>Sports nutrition, infant formula</t>
        </is>
      </c>
      <c r="I133" s="3" t="inlineStr">
        <is>
          <t>Bakery fortification</t>
        </is>
      </c>
      <c r="J133" s="3" t="inlineStr">
        <is>
          <t>Bulk</t>
        </is>
      </c>
      <c r="K133" s="3" t="inlineStr">
        <is>
          <t>Protein Isolate/Concentrate</t>
        </is>
      </c>
      <c r="L133" s="3" t="inlineStr">
        <is>
          <t>Sports nutrition brands, infant formula makers, bakeries</t>
        </is>
      </c>
      <c r="M133" s="3" t="inlineStr">
        <is>
          <t>Medium</t>
        </is>
      </c>
      <c r="N133" s="3" t="inlineStr">
        <is>
          <t>High</t>
        </is>
      </c>
      <c r="O133" s="3" t="inlineStr">
        <is>
          <t>Medium</t>
        </is>
      </c>
    </row>
    <row r="134" ht="15.75" customHeight="1" s="19">
      <c r="A134" s="3" t="n">
        <v>122</v>
      </c>
      <c r="B134" s="3" t="inlineStr">
        <is>
          <t>Fruit Pulp &amp; Concentrate</t>
        </is>
      </c>
      <c r="C134" s="3" t="inlineStr">
        <is>
          <t>Food Ingredients</t>
        </is>
      </c>
      <c r="D134" s="3" t="inlineStr">
        <is>
          <t>200799</t>
        </is>
      </c>
      <c r="E134" s="3" t="inlineStr">
        <is>
          <t>Other jams, fruit jellies, marmalades nes</t>
        </is>
      </c>
      <c r="F134" s="3" t="inlineStr">
        <is>
          <t>Processed Food Ingredient</t>
        </is>
      </c>
      <c r="G134" s="3" t="inlineStr">
        <is>
          <t>High</t>
        </is>
      </c>
      <c r="H134" s="3" t="inlineStr">
        <is>
          <t>Beverages, jams, ice cream</t>
        </is>
      </c>
      <c r="I134" s="3" t="inlineStr">
        <is>
          <t>Baby food, dairy flavoring</t>
        </is>
      </c>
      <c r="J134" s="3" t="inlineStr">
        <is>
          <t>Bulk</t>
        </is>
      </c>
      <c r="K134" s="3" t="inlineStr">
        <is>
          <t>Fruit Processing</t>
        </is>
      </c>
      <c r="L134" s="3" t="inlineStr">
        <is>
          <t>Beverage companies, dairy, bakery</t>
        </is>
      </c>
      <c r="M134" s="3" t="inlineStr">
        <is>
          <t>Low</t>
        </is>
      </c>
      <c r="N134" s="3" t="inlineStr">
        <is>
          <t>High</t>
        </is>
      </c>
      <c r="O134" s="3" t="inlineStr">
        <is>
          <t>Low</t>
        </is>
      </c>
    </row>
    <row r="135" ht="15.75" customHeight="1" s="19">
      <c r="A135" s="3" t="n">
        <v>123</v>
      </c>
      <c r="B135" s="3" t="inlineStr">
        <is>
          <t>Flavouring Agents</t>
        </is>
      </c>
      <c r="C135" s="3" t="inlineStr">
        <is>
          <t>Food Ingredients</t>
        </is>
      </c>
      <c r="D135" s="3" t="inlineStr">
        <is>
          <t>330210</t>
        </is>
      </c>
      <c r="E135" s="3" t="inlineStr">
        <is>
          <t>Mixtures of odoriferous substances for food/beverages</t>
        </is>
      </c>
      <c r="F135" s="3" t="inlineStr">
        <is>
          <t>Food Additive</t>
        </is>
      </c>
      <c r="G135" s="3" t="inlineStr">
        <is>
          <t>High</t>
        </is>
      </c>
      <c r="H135" s="3" t="inlineStr">
        <is>
          <t>Beverages, confectionery, snacks</t>
        </is>
      </c>
      <c r="I135" s="3" t="inlineStr">
        <is>
          <t>Pharma taste masking</t>
        </is>
      </c>
      <c r="J135" s="3" t="inlineStr">
        <is>
          <t>Active</t>
        </is>
      </c>
      <c r="K135" s="3" t="inlineStr">
        <is>
          <t>Flavor Compound</t>
        </is>
      </c>
      <c r="L135" s="3" t="inlineStr">
        <is>
          <t>Food manufacturers, beverage companies, pharma</t>
        </is>
      </c>
      <c r="M135" s="3" t="inlineStr">
        <is>
          <t>Medium</t>
        </is>
      </c>
      <c r="N135" s="3" t="inlineStr">
        <is>
          <t>High</t>
        </is>
      </c>
      <c r="O135" s="3" t="inlineStr">
        <is>
          <t>High</t>
        </is>
      </c>
    </row>
    <row r="136" ht="15.75" customHeight="1" s="19">
      <c r="A136" s="3" t="n">
        <v>124</v>
      </c>
      <c r="B136" s="3" t="inlineStr">
        <is>
          <t>Antioxidants</t>
        </is>
      </c>
      <c r="C136" s="3" t="inlineStr">
        <is>
          <t>Food Ingredients</t>
        </is>
      </c>
      <c r="D136" s="3" t="inlineStr">
        <is>
          <t>291890</t>
        </is>
      </c>
      <c r="E136" s="3" t="inlineStr">
        <is>
          <t>Other carboxylic acids nes</t>
        </is>
      </c>
      <c r="F136" s="3" t="inlineStr">
        <is>
          <t>Food Preservative</t>
        </is>
      </c>
      <c r="G136" s="3" t="inlineStr">
        <is>
          <t>High</t>
        </is>
      </c>
      <c r="H136" s="3" t="inlineStr">
        <is>
          <t>Oil/fat oxidation prevention</t>
        </is>
      </c>
      <c r="I136" s="3" t="inlineStr">
        <is>
          <t>Nutraceutical supplements</t>
        </is>
      </c>
      <c r="J136" s="3" t="inlineStr">
        <is>
          <t>Active</t>
        </is>
      </c>
      <c r="K136" s="3" t="inlineStr">
        <is>
          <t>Phenolic / Vitamin Antioxidant</t>
        </is>
      </c>
      <c r="L136" s="3" t="inlineStr">
        <is>
          <t>Edible oil companies, food manufacturers, supplement brands</t>
        </is>
      </c>
      <c r="M136" s="3" t="inlineStr">
        <is>
          <t>Medium</t>
        </is>
      </c>
      <c r="N136" s="3" t="inlineStr">
        <is>
          <t>Medium</t>
        </is>
      </c>
      <c r="O136" s="3" t="inlineStr">
        <is>
          <t>High</t>
        </is>
      </c>
    </row>
    <row r="137" ht="15.75" customHeight="1" s="19">
      <c r="A137" s="3" t="n">
        <v>125</v>
      </c>
      <c r="B137" s="3" t="inlineStr">
        <is>
          <t>Enzymes</t>
        </is>
      </c>
      <c r="C137" s="3" t="inlineStr">
        <is>
          <t>Food Ingredients</t>
        </is>
      </c>
      <c r="D137" s="3" t="inlineStr">
        <is>
          <t>350790</t>
        </is>
      </c>
      <c r="E137" s="3" t="inlineStr">
        <is>
          <t>Other enzymes; prepared enzymes nes</t>
        </is>
      </c>
      <c r="F137" s="3" t="inlineStr">
        <is>
          <t>Biocatalyst</t>
        </is>
      </c>
      <c r="G137" s="3" t="inlineStr">
        <is>
          <t>High</t>
        </is>
      </c>
      <c r="H137" s="3" t="inlineStr">
        <is>
          <t>Baking (amylase), dairy (rennet)</t>
        </is>
      </c>
      <c r="I137" s="3" t="inlineStr">
        <is>
          <t>Textile, detergent, pharma</t>
        </is>
      </c>
      <c r="J137" s="3" t="inlineStr">
        <is>
          <t>Active</t>
        </is>
      </c>
      <c r="K137" s="3" t="inlineStr">
        <is>
          <t>Protein Biocatalyst</t>
        </is>
      </c>
      <c r="L137" s="3" t="inlineStr">
        <is>
          <t>Food processors, detergent makers, pharma</t>
        </is>
      </c>
      <c r="M137" s="3" t="inlineStr">
        <is>
          <t>High</t>
        </is>
      </c>
      <c r="N137" s="3" t="inlineStr">
        <is>
          <t>Medium</t>
        </is>
      </c>
      <c r="O137" s="3" t="inlineStr">
        <is>
          <t>High</t>
        </is>
      </c>
    </row>
    <row r="138" ht="15.75" customHeight="1" s="19">
      <c r="A138" s="3" t="n">
        <v>126</v>
      </c>
      <c r="B138" s="3" t="inlineStr">
        <is>
          <t>Vegetable Puree/Concentrate</t>
        </is>
      </c>
      <c r="C138" s="3" t="inlineStr">
        <is>
          <t>Food Ingredients</t>
        </is>
      </c>
      <c r="D138" s="3" t="inlineStr">
        <is>
          <t>200799</t>
        </is>
      </c>
      <c r="E138" s="3" t="inlineStr">
        <is>
          <t>Other jams, fruit jellies, marmalades nes</t>
        </is>
      </c>
      <c r="F138" s="3" t="inlineStr">
        <is>
          <t>Processed Food Ingredient</t>
        </is>
      </c>
      <c r="G138" s="3" t="inlineStr">
        <is>
          <t>High</t>
        </is>
      </c>
      <c r="H138" s="3" t="inlineStr">
        <is>
          <t>Sauces, soups, baby food</t>
        </is>
      </c>
      <c r="I138" s="3" t="inlineStr">
        <is>
          <t>Food service, retail</t>
        </is>
      </c>
      <c r="J138" s="3" t="inlineStr">
        <is>
          <t>Bulk</t>
        </is>
      </c>
      <c r="K138" s="3" t="inlineStr">
        <is>
          <t>Vegetable Processing</t>
        </is>
      </c>
      <c r="L138" s="3" t="inlineStr">
        <is>
          <t>Food manufacturers, food service, baby food brands</t>
        </is>
      </c>
      <c r="M138" s="3" t="inlineStr">
        <is>
          <t>Low</t>
        </is>
      </c>
      <c r="N138" s="3" t="inlineStr">
        <is>
          <t>High</t>
        </is>
      </c>
      <c r="O138" s="3" t="inlineStr">
        <is>
          <t>Low</t>
        </is>
      </c>
    </row>
    <row r="139" ht="15.75" customHeight="1" s="19">
      <c r="A139" s="3" t="n">
        <v>127</v>
      </c>
      <c r="B139" s="3" t="inlineStr">
        <is>
          <t>Preservatives</t>
        </is>
      </c>
      <c r="C139" s="3" t="inlineStr">
        <is>
          <t>Food Ingredients</t>
        </is>
      </c>
      <c r="D139" s="3" t="inlineStr">
        <is>
          <t>291829</t>
        </is>
      </c>
      <c r="E139" s="3" t="inlineStr">
        <is>
          <t>Other hydroxy acids nes</t>
        </is>
      </c>
      <c r="F139" s="3" t="inlineStr">
        <is>
          <t>Food Additive</t>
        </is>
      </c>
      <c r="G139" s="3" t="inlineStr">
        <is>
          <t>High</t>
        </is>
      </c>
      <c r="H139" s="3" t="inlineStr">
        <is>
          <t>Shelf-life extension in food</t>
        </is>
      </c>
      <c r="I139" s="3" t="inlineStr">
        <is>
          <t>Cosmetic, pharma preservation</t>
        </is>
      </c>
      <c r="J139" s="3" t="inlineStr">
        <is>
          <t>Bulk</t>
        </is>
      </c>
      <c r="K139" s="3" t="inlineStr">
        <is>
          <t>Antimicrobial / Antioxidant</t>
        </is>
      </c>
      <c r="L139" s="3" t="inlineStr">
        <is>
          <t>Food manufacturers, beverage companies</t>
        </is>
      </c>
      <c r="M139" s="3" t="inlineStr">
        <is>
          <t>Low</t>
        </is>
      </c>
      <c r="N139" s="3" t="inlineStr">
        <is>
          <t>High</t>
        </is>
      </c>
      <c r="O139" s="3" t="inlineStr">
        <is>
          <t>Low</t>
        </is>
      </c>
    </row>
    <row r="140" ht="15.75" customHeight="1" s="19">
      <c r="A140" s="3" t="n">
        <v>128</v>
      </c>
      <c r="B140" s="3" t="inlineStr">
        <is>
          <t>Emulsifiers &amp; Stabilisers</t>
        </is>
      </c>
      <c r="C140" s="3" t="inlineStr">
        <is>
          <t>Food Ingredients</t>
        </is>
      </c>
      <c r="D140" s="3" t="inlineStr">
        <is>
          <t>382490</t>
        </is>
      </c>
      <c r="E140" s="3" t="inlineStr">
        <is>
          <t>Prepared chemical products nes</t>
        </is>
      </c>
      <c r="F140" s="3" t="inlineStr">
        <is>
          <t>Food Additive</t>
        </is>
      </c>
      <c r="G140" s="3" t="inlineStr">
        <is>
          <t>High</t>
        </is>
      </c>
      <c r="H140" s="3" t="inlineStr">
        <is>
          <t>Ice cream, sauces, dressings</t>
        </is>
      </c>
      <c r="I140" s="3" t="inlineStr">
        <is>
          <t>Bakery, dairy products</t>
        </is>
      </c>
      <c r="J140" s="3" t="inlineStr">
        <is>
          <t>Bulk</t>
        </is>
      </c>
      <c r="K140" s="3" t="inlineStr">
        <is>
          <t>Hydrocolloid / Lecithin</t>
        </is>
      </c>
      <c r="L140" s="3" t="inlineStr">
        <is>
          <t>Food manufacturers, dairy, bakery</t>
        </is>
      </c>
      <c r="M140" s="3" t="inlineStr">
        <is>
          <t>Low</t>
        </is>
      </c>
      <c r="N140" s="3" t="inlineStr">
        <is>
          <t>High</t>
        </is>
      </c>
      <c r="O140" s="3" t="inlineStr">
        <is>
          <t>Low</t>
        </is>
      </c>
    </row>
    <row r="141" ht="15.75" customHeight="1" s="19">
      <c r="A141" s="3" t="n">
        <v>129</v>
      </c>
      <c r="B141" s="3" t="inlineStr">
        <is>
          <t>Vitamins</t>
        </is>
      </c>
      <c r="C141" s="3" t="inlineStr">
        <is>
          <t>Food Ingredients</t>
        </is>
      </c>
      <c r="D141" s="3" t="inlineStr">
        <is>
          <t>293620</t>
        </is>
      </c>
      <c r="E141" s="3" t="inlineStr">
        <is>
          <t>Vitamins and their derivatives, mixed or not</t>
        </is>
      </c>
      <c r="F141" s="3" t="inlineStr">
        <is>
          <t>Nutritional Supplement</t>
        </is>
      </c>
      <c r="G141" s="3" t="inlineStr">
        <is>
          <t>High</t>
        </is>
      </c>
      <c r="H141" s="3" t="inlineStr">
        <is>
          <t>Food fortification, supplements</t>
        </is>
      </c>
      <c r="I141" s="3" t="inlineStr">
        <is>
          <t>Pharma, cosmetics</t>
        </is>
      </c>
      <c r="J141" s="3" t="inlineStr">
        <is>
          <t>Active</t>
        </is>
      </c>
      <c r="K141" s="3" t="inlineStr">
        <is>
          <t>Vitamin Complex</t>
        </is>
      </c>
      <c r="L141" s="3" t="inlineStr">
        <is>
          <t>Food manufacturers, pharma, supplement brands</t>
        </is>
      </c>
      <c r="M141" s="3" t="inlineStr">
        <is>
          <t>Medium</t>
        </is>
      </c>
      <c r="N141" s="3" t="inlineStr">
        <is>
          <t>High</t>
        </is>
      </c>
      <c r="O141" s="3" t="inlineStr">
        <is>
          <t>Medium</t>
        </is>
      </c>
    </row>
    <row r="142" ht="15.75" customHeight="1" s="19">
      <c r="A142" s="3" t="n">
        <v>130</v>
      </c>
      <c r="B142" s="3" t="inlineStr">
        <is>
          <t>Soy &amp; Sunflower Products</t>
        </is>
      </c>
      <c r="C142" s="3" t="inlineStr">
        <is>
          <t>Food Ingredients</t>
        </is>
      </c>
      <c r="D142" s="3" t="inlineStr">
        <is>
          <t>150790</t>
        </is>
      </c>
      <c r="E142" s="3" t="inlineStr">
        <is>
          <t>Soya-bean oil - other</t>
        </is>
      </c>
      <c r="F142" s="3" t="inlineStr">
        <is>
          <t>Vegetable Oil Derivative</t>
        </is>
      </c>
      <c r="G142" s="3" t="inlineStr">
        <is>
          <t>Medium</t>
        </is>
      </c>
      <c r="H142" s="3" t="inlineStr">
        <is>
          <t>Cooking oil, lecithin</t>
        </is>
      </c>
      <c r="I142" s="3" t="inlineStr">
        <is>
          <t>Biodiesel, industrial lubricant</t>
        </is>
      </c>
      <c r="J142" s="3" t="inlineStr">
        <is>
          <t>Bulk</t>
        </is>
      </c>
      <c r="K142" s="3" t="inlineStr">
        <is>
          <t>Oilseed Product</t>
        </is>
      </c>
      <c r="L142" s="3" t="inlineStr">
        <is>
          <t>Food manufacturers, biodiesel producers</t>
        </is>
      </c>
      <c r="M142" s="3" t="inlineStr">
        <is>
          <t>Low</t>
        </is>
      </c>
      <c r="N142" s="3" t="inlineStr">
        <is>
          <t>High</t>
        </is>
      </c>
      <c r="O142" s="3" t="inlineStr">
        <is>
          <t>Low</t>
        </is>
      </c>
    </row>
    <row r="143" ht="15.75" customHeight="1" s="19">
      <c r="A143" s="11" t="n"/>
      <c r="B143" s="11" t="inlineStr">
        <is>
          <t>▶ Feed Ingredients</t>
        </is>
      </c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</row>
    <row r="144" ht="15.75" customHeight="1" s="19">
      <c r="A144" s="3" t="n">
        <v>131</v>
      </c>
      <c r="B144" s="3" t="inlineStr">
        <is>
          <t>Corn Gluten Meal</t>
        </is>
      </c>
      <c r="C144" s="3" t="inlineStr">
        <is>
          <t>Feed Ingredients</t>
        </is>
      </c>
      <c r="D144" s="3" t="inlineStr">
        <is>
          <t>230210</t>
        </is>
      </c>
      <c r="E144" s="3" t="inlineStr">
        <is>
          <t>Bran, sharps and residues from maize/corn</t>
        </is>
      </c>
      <c r="F144" s="3" t="inlineStr">
        <is>
          <t>Animal Feed Protein</t>
        </is>
      </c>
      <c r="G144" s="3" t="inlineStr">
        <is>
          <t>High</t>
        </is>
      </c>
      <c r="H144" s="3" t="inlineStr">
        <is>
          <t>Poultry &amp; fish feed protein source</t>
        </is>
      </c>
      <c r="I144" s="3" t="inlineStr">
        <is>
          <t>Pet food</t>
        </is>
      </c>
      <c r="J144" s="3" t="inlineStr">
        <is>
          <t>Bulk</t>
        </is>
      </c>
      <c r="K144" s="3" t="inlineStr">
        <is>
          <t>Corn Protein</t>
        </is>
      </c>
      <c r="L144" s="3" t="inlineStr">
        <is>
          <t>Feed mills, poultry integrators, aquaculture</t>
        </is>
      </c>
      <c r="M144" s="3" t="inlineStr">
        <is>
          <t>Low</t>
        </is>
      </c>
      <c r="N144" s="3" t="inlineStr">
        <is>
          <t>High</t>
        </is>
      </c>
      <c r="O144" s="3" t="inlineStr">
        <is>
          <t>Low</t>
        </is>
      </c>
    </row>
    <row r="145" ht="15.75" customHeight="1" s="19">
      <c r="A145" s="3" t="n">
        <v>132</v>
      </c>
      <c r="B145" s="3" t="inlineStr">
        <is>
          <t>Corn Feed Meal</t>
        </is>
      </c>
      <c r="C145" s="3" t="inlineStr">
        <is>
          <t>Feed Ingredients</t>
        </is>
      </c>
      <c r="D145" s="3" t="inlineStr">
        <is>
          <t>230210</t>
        </is>
      </c>
      <c r="E145" s="3" t="inlineStr">
        <is>
          <t>Bran, sharps and residues from maize/corn</t>
        </is>
      </c>
      <c r="F145" s="3" t="inlineStr">
        <is>
          <t>Animal Feed Ingredient</t>
        </is>
      </c>
      <c r="G145" s="3" t="inlineStr">
        <is>
          <t>High</t>
        </is>
      </c>
      <c r="H145" s="3" t="inlineStr">
        <is>
          <t>Cattle &amp; poultry feed energy source</t>
        </is>
      </c>
      <c r="I145" s="3" t="inlineStr">
        <is>
          <t>Fermentation substrate</t>
        </is>
      </c>
      <c r="J145" s="3" t="inlineStr">
        <is>
          <t>Bulk</t>
        </is>
      </c>
      <c r="K145" s="3" t="inlineStr">
        <is>
          <t>Corn By-product</t>
        </is>
      </c>
      <c r="L145" s="3" t="inlineStr">
        <is>
          <t>Feed mills, dairy farms, poultry integrators</t>
        </is>
      </c>
      <c r="M145" s="3" t="inlineStr">
        <is>
          <t>Low</t>
        </is>
      </c>
      <c r="N145" s="3" t="inlineStr">
        <is>
          <t>High</t>
        </is>
      </c>
      <c r="O145" s="3" t="inlineStr">
        <is>
          <t>Low</t>
        </is>
      </c>
    </row>
    <row r="146" ht="15.75" customHeight="1" s="19">
      <c r="A146" s="3" t="n">
        <v>133</v>
      </c>
      <c r="B146" s="3" t="inlineStr">
        <is>
          <t>Soya Lecithin Feed Grade</t>
        </is>
      </c>
      <c r="C146" s="3" t="inlineStr">
        <is>
          <t>Feed Ingredients</t>
        </is>
      </c>
      <c r="D146" s="3" t="inlineStr">
        <is>
          <t>292290</t>
        </is>
      </c>
      <c r="E146" s="3" t="inlineStr">
        <is>
          <t>Lecithins and other phosphoaminolipids</t>
        </is>
      </c>
      <c r="F146" s="3" t="inlineStr">
        <is>
          <t>Feed Emulsifier</t>
        </is>
      </c>
      <c r="G146" s="3" t="inlineStr">
        <is>
          <t>High</t>
        </is>
      </c>
      <c r="H146" s="3" t="inlineStr">
        <is>
          <t>Fat utilization in animal feed</t>
        </is>
      </c>
      <c r="I146" s="3" t="inlineStr">
        <is>
          <t>Pellet binder</t>
        </is>
      </c>
      <c r="J146" s="3" t="inlineStr">
        <is>
          <t>Bulk</t>
        </is>
      </c>
      <c r="K146" s="3" t="inlineStr">
        <is>
          <t>Phospholipid</t>
        </is>
      </c>
      <c r="L146" s="3" t="inlineStr">
        <is>
          <t>Feed mills, premix manufacturers</t>
        </is>
      </c>
      <c r="M146" s="3" t="inlineStr">
        <is>
          <t>Low</t>
        </is>
      </c>
      <c r="N146" s="3" t="inlineStr">
        <is>
          <t>High</t>
        </is>
      </c>
      <c r="O146" s="3" t="inlineStr">
        <is>
          <t>Low</t>
        </is>
      </c>
    </row>
    <row r="147" ht="15.75" customHeight="1" s="19">
      <c r="A147" s="3" t="n">
        <v>134</v>
      </c>
      <c r="B147" s="3" t="inlineStr">
        <is>
          <t>Rice DDGS</t>
        </is>
      </c>
      <c r="C147" s="3" t="inlineStr">
        <is>
          <t>Feed Ingredients</t>
        </is>
      </c>
      <c r="D147" s="3" t="inlineStr">
        <is>
          <t>230290</t>
        </is>
      </c>
      <c r="E147" s="3" t="inlineStr">
        <is>
          <t>Other brans, sharps and residues nes</t>
        </is>
      </c>
      <c r="F147" s="3" t="inlineStr">
        <is>
          <t>Feed Ingredient</t>
        </is>
      </c>
      <c r="G147" s="3" t="inlineStr">
        <is>
          <t>High</t>
        </is>
      </c>
      <c r="H147" s="3" t="inlineStr">
        <is>
          <t>Protein &amp; energy source in feed</t>
        </is>
      </c>
      <c r="I147" s="3" t="inlineStr">
        <is>
          <t>Cattle, poultry feed</t>
        </is>
      </c>
      <c r="J147" s="3" t="inlineStr">
        <is>
          <t>Bulk</t>
        </is>
      </c>
      <c r="K147" s="3" t="inlineStr">
        <is>
          <t>Distiller Grain</t>
        </is>
      </c>
      <c r="L147" s="3" t="inlineStr">
        <is>
          <t>Feed mills, ethanol plants, dairy farms</t>
        </is>
      </c>
      <c r="M147" s="3" t="inlineStr">
        <is>
          <t>Low</t>
        </is>
      </c>
      <c r="N147" s="3" t="inlineStr">
        <is>
          <t>High</t>
        </is>
      </c>
      <c r="O147" s="3" t="inlineStr">
        <is>
          <t>Low</t>
        </is>
      </c>
    </row>
    <row r="148" ht="15.75" customHeight="1" s="19">
      <c r="A148" s="3" t="n">
        <v>135</v>
      </c>
      <c r="B148" s="3" t="inlineStr">
        <is>
          <t>Lysine</t>
        </is>
      </c>
      <c r="C148" s="3" t="inlineStr">
        <is>
          <t>Feed Ingredients</t>
        </is>
      </c>
      <c r="D148" s="3" t="inlineStr">
        <is>
          <t>292241</t>
        </is>
      </c>
      <c r="E148" s="3" t="inlineStr">
        <is>
          <t>Lysine and its esters; salts thereof</t>
        </is>
      </c>
      <c r="F148" s="3" t="inlineStr">
        <is>
          <t>Essential Amino Acid</t>
        </is>
      </c>
      <c r="G148" s="3" t="inlineStr">
        <is>
          <t>High</t>
        </is>
      </c>
      <c r="H148" s="3" t="inlineStr">
        <is>
          <t>Poultry &amp; swine feed supplementation</t>
        </is>
      </c>
      <c r="I148" s="3" t="inlineStr">
        <is>
          <t>Pharma intermediate</t>
        </is>
      </c>
      <c r="J148" s="3" t="inlineStr">
        <is>
          <t>Active</t>
        </is>
      </c>
      <c r="K148" s="3" t="inlineStr">
        <is>
          <t>Amino Acid</t>
        </is>
      </c>
      <c r="L148" s="3" t="inlineStr">
        <is>
          <t>Feed mills, premix manufacturers, pharma</t>
        </is>
      </c>
      <c r="M148" s="3" t="inlineStr">
        <is>
          <t>Medium</t>
        </is>
      </c>
      <c r="N148" s="3" t="inlineStr">
        <is>
          <t>High</t>
        </is>
      </c>
      <c r="O148" s="3" t="inlineStr">
        <is>
          <t>Medium</t>
        </is>
      </c>
    </row>
    <row r="149" ht="15.75" customHeight="1" s="19">
      <c r="A149" s="3" t="n">
        <v>136</v>
      </c>
      <c r="B149" s="3" t="inlineStr">
        <is>
          <t>Halquinol</t>
        </is>
      </c>
      <c r="C149" s="3" t="inlineStr">
        <is>
          <t>Feed Ingredients</t>
        </is>
      </c>
      <c r="D149" s="3" t="inlineStr">
        <is>
          <t>293090</t>
        </is>
      </c>
      <c r="E149" s="3" t="inlineStr">
        <is>
          <t>Other derivatives of quinoline/isoquinoline nes</t>
        </is>
      </c>
      <c r="F149" s="3" t="inlineStr">
        <is>
          <t>Antimicrobial Feed Additive</t>
        </is>
      </c>
      <c r="G149" s="3" t="inlineStr">
        <is>
          <t>High</t>
        </is>
      </c>
      <c r="H149" s="3" t="inlineStr">
        <is>
          <t>Growth promoter in poultry/swine</t>
        </is>
      </c>
      <c r="I149" s="3" t="inlineStr">
        <is>
          <t>Intestinal health</t>
        </is>
      </c>
      <c r="J149" s="3" t="inlineStr">
        <is>
          <t>Active</t>
        </is>
      </c>
      <c r="K149" s="3" t="inlineStr">
        <is>
          <t>Quinoline Derivative</t>
        </is>
      </c>
      <c r="L149" s="3" t="inlineStr">
        <is>
          <t>Feed mills, veterinary pharma, premix companies</t>
        </is>
      </c>
      <c r="M149" s="3" t="inlineStr">
        <is>
          <t>Medium</t>
        </is>
      </c>
      <c r="N149" s="3" t="inlineStr">
        <is>
          <t>Medium</t>
        </is>
      </c>
      <c r="O149" s="3" t="inlineStr">
        <is>
          <t>High</t>
        </is>
      </c>
    </row>
    <row r="150" ht="15.75" customHeight="1" s="19">
      <c r="A150" s="3" t="n">
        <v>137</v>
      </c>
      <c r="B150" s="3" t="inlineStr">
        <is>
          <t>Sodium Bicarbonate</t>
        </is>
      </c>
      <c r="C150" s="3" t="inlineStr">
        <is>
          <t>Feed Ingredients</t>
        </is>
      </c>
      <c r="D150" s="3" t="inlineStr">
        <is>
          <t>283630</t>
        </is>
      </c>
      <c r="E150" s="3" t="inlineStr">
        <is>
          <t>Sodium bicarbonate (sodium hydrogen carbonate)</t>
        </is>
      </c>
      <c r="F150" s="3" t="inlineStr">
        <is>
          <t>Buffer / Feed Additive</t>
        </is>
      </c>
      <c r="G150" s="3" t="inlineStr">
        <is>
          <t>High</t>
        </is>
      </c>
      <c r="H150" s="3" t="inlineStr">
        <is>
          <t>Rumen buffer in dairy feed</t>
        </is>
      </c>
      <c r="I150" s="3" t="inlineStr">
        <is>
          <t>Baking, water treatment</t>
        </is>
      </c>
      <c r="J150" s="3" t="inlineStr">
        <is>
          <t>Bulk</t>
        </is>
      </c>
      <c r="K150" s="3" t="inlineStr">
        <is>
          <t>Alkali Metal Salt</t>
        </is>
      </c>
      <c r="L150" s="3" t="inlineStr">
        <is>
          <t>Feed mills, bakeries, chemical companies</t>
        </is>
      </c>
      <c r="M150" s="3" t="inlineStr">
        <is>
          <t>Low</t>
        </is>
      </c>
      <c r="N150" s="3" t="inlineStr">
        <is>
          <t>High</t>
        </is>
      </c>
      <c r="O150" s="3" t="inlineStr">
        <is>
          <t>Low</t>
        </is>
      </c>
    </row>
    <row r="151" ht="15.75" customHeight="1" s="19">
      <c r="A151" s="3" t="n">
        <v>138</v>
      </c>
      <c r="B151" s="3" t="inlineStr">
        <is>
          <t>Vitamins</t>
        </is>
      </c>
      <c r="C151" s="3" t="inlineStr">
        <is>
          <t>Feed Ingredients</t>
        </is>
      </c>
      <c r="D151" s="3" t="inlineStr">
        <is>
          <t>293620</t>
        </is>
      </c>
      <c r="E151" s="3" t="inlineStr">
        <is>
          <t>Vitamins and their derivatives, mixed or not</t>
        </is>
      </c>
      <c r="F151" s="3" t="inlineStr">
        <is>
          <t>Nutritional Supplement</t>
        </is>
      </c>
      <c r="G151" s="3" t="inlineStr">
        <is>
          <t>High</t>
        </is>
      </c>
      <c r="H151" s="3" t="inlineStr">
        <is>
          <t>Food fortification, supplements</t>
        </is>
      </c>
      <c r="I151" s="3" t="inlineStr">
        <is>
          <t>Pharma, cosmetics</t>
        </is>
      </c>
      <c r="J151" s="3" t="inlineStr">
        <is>
          <t>Active</t>
        </is>
      </c>
      <c r="K151" s="3" t="inlineStr">
        <is>
          <t>Vitamin Complex</t>
        </is>
      </c>
      <c r="L151" s="3" t="inlineStr">
        <is>
          <t>Food manufacturers, pharma, supplement brands</t>
        </is>
      </c>
      <c r="M151" s="3" t="inlineStr">
        <is>
          <t>Medium</t>
        </is>
      </c>
      <c r="N151" s="3" t="inlineStr">
        <is>
          <t>High</t>
        </is>
      </c>
      <c r="O151" s="3" t="inlineStr">
        <is>
          <t>Medium</t>
        </is>
      </c>
    </row>
    <row r="152" ht="15.75" customHeight="1" s="19">
      <c r="A152" s="3" t="n">
        <v>139</v>
      </c>
      <c r="B152" s="3" t="inlineStr">
        <is>
          <t>MCP (Monocalcium Phosphate)</t>
        </is>
      </c>
      <c r="C152" s="3" t="inlineStr">
        <is>
          <t>Feed Ingredients</t>
        </is>
      </c>
      <c r="D152" s="3" t="inlineStr">
        <is>
          <t>283522</t>
        </is>
      </c>
      <c r="E152" s="3" t="inlineStr">
        <is>
          <t>Monocalcium phosphate</t>
        </is>
      </c>
      <c r="F152" s="3" t="inlineStr">
        <is>
          <t>Phosphorus Feed Supplement</t>
        </is>
      </c>
      <c r="G152" s="3" t="inlineStr">
        <is>
          <t>High</t>
        </is>
      </c>
      <c r="H152" s="3" t="inlineStr">
        <is>
          <t>Calcium &amp; phosphorus in poultry/swine</t>
        </is>
      </c>
      <c r="I152" s="3" t="inlineStr">
        <is>
          <t>Baking powder ingredient</t>
        </is>
      </c>
      <c r="J152" s="3" t="inlineStr">
        <is>
          <t>Bulk</t>
        </is>
      </c>
      <c r="K152" s="3" t="inlineStr">
        <is>
          <t>Calcium Phosphate</t>
        </is>
      </c>
      <c r="L152" s="3" t="inlineStr">
        <is>
          <t>Feed mills, premix manufacturers</t>
        </is>
      </c>
      <c r="M152" s="3" t="inlineStr">
        <is>
          <t>Low</t>
        </is>
      </c>
      <c r="N152" s="3" t="inlineStr">
        <is>
          <t>High</t>
        </is>
      </c>
      <c r="O152" s="3" t="inlineStr">
        <is>
          <t>Low</t>
        </is>
      </c>
    </row>
    <row r="153" ht="15.75" customHeight="1" s="19">
      <c r="A153" s="3" t="n">
        <v>140</v>
      </c>
      <c r="B153" s="3" t="inlineStr">
        <is>
          <t>DCP (Dicalcium Phosphate)</t>
        </is>
      </c>
      <c r="C153" s="3" t="inlineStr">
        <is>
          <t>Feed Ingredients</t>
        </is>
      </c>
      <c r="D153" s="3" t="inlineStr">
        <is>
          <t>283523</t>
        </is>
      </c>
      <c r="E153" s="3" t="inlineStr">
        <is>
          <t>Dicalcium phosphate</t>
        </is>
      </c>
      <c r="F153" s="3" t="inlineStr">
        <is>
          <t>Phosphorus Feed Supplement</t>
        </is>
      </c>
      <c r="G153" s="3" t="inlineStr">
        <is>
          <t>High</t>
        </is>
      </c>
      <c r="H153" s="3" t="inlineStr">
        <is>
          <t>Calcium &amp; phosphorus in livestock feed</t>
        </is>
      </c>
      <c r="I153" s="3" t="inlineStr">
        <is>
          <t>Pharma excipient</t>
        </is>
      </c>
      <c r="J153" s="3" t="inlineStr">
        <is>
          <t>Bulk</t>
        </is>
      </c>
      <c r="K153" s="3" t="inlineStr">
        <is>
          <t>Calcium Phosphate</t>
        </is>
      </c>
      <c r="L153" s="3" t="inlineStr">
        <is>
          <t>Feed mills, premix manufacturers, pharma</t>
        </is>
      </c>
      <c r="M153" s="3" t="inlineStr">
        <is>
          <t>Low</t>
        </is>
      </c>
      <c r="N153" s="3" t="inlineStr">
        <is>
          <t>High</t>
        </is>
      </c>
      <c r="O153" s="3" t="inlineStr">
        <is>
          <t>Low</t>
        </is>
      </c>
    </row>
    <row r="154" ht="15.75" customHeight="1" s="19">
      <c r="A154" s="3" t="n">
        <v>141</v>
      </c>
      <c r="B154" s="3" t="inlineStr">
        <is>
          <t>Flavours</t>
        </is>
      </c>
      <c r="C154" s="3" t="inlineStr">
        <is>
          <t>Feed Ingredients</t>
        </is>
      </c>
      <c r="D154" s="3" t="inlineStr">
        <is>
          <t>330210</t>
        </is>
      </c>
      <c r="E154" s="3" t="inlineStr">
        <is>
          <t>Mixtures of odoriferous substances for food/beverages</t>
        </is>
      </c>
      <c r="F154" s="3" t="inlineStr">
        <is>
          <t>Feed Palatability Enhancer</t>
        </is>
      </c>
      <c r="G154" s="3" t="inlineStr">
        <is>
          <t>High</t>
        </is>
      </c>
      <c r="H154" s="3" t="inlineStr">
        <is>
          <t>Improving feed intake in animals</t>
        </is>
      </c>
      <c r="I154" s="3" t="inlineStr">
        <is>
          <t>Pet food flavoring</t>
        </is>
      </c>
      <c r="J154" s="3" t="inlineStr">
        <is>
          <t>Active</t>
        </is>
      </c>
      <c r="K154" s="3" t="inlineStr">
        <is>
          <t>Flavor Compound</t>
        </is>
      </c>
      <c r="L154" s="3" t="inlineStr">
        <is>
          <t>Feed mills, pet food manufacturers</t>
        </is>
      </c>
      <c r="M154" s="3" t="inlineStr">
        <is>
          <t>Medium</t>
        </is>
      </c>
      <c r="N154" s="3" t="inlineStr">
        <is>
          <t>Medium</t>
        </is>
      </c>
      <c r="O154" s="3" t="inlineStr">
        <is>
          <t>High</t>
        </is>
      </c>
    </row>
    <row r="155" ht="15.75" customHeight="1" s="19">
      <c r="A155" s="3" t="n">
        <v>142</v>
      </c>
      <c r="B155" s="3" t="inlineStr">
        <is>
          <t>Botanical Extracts</t>
        </is>
      </c>
      <c r="C155" s="3" t="inlineStr">
        <is>
          <t>Feed Ingredients</t>
        </is>
      </c>
      <c r="D155" s="3" t="inlineStr">
        <is>
          <t>130219</t>
        </is>
      </c>
      <c r="E155" s="3" t="inlineStr">
        <is>
          <t>Other vegetable saps and extracts nes</t>
        </is>
      </c>
      <c r="F155" s="3" t="inlineStr">
        <is>
          <t>Natural Feed Additive</t>
        </is>
      </c>
      <c r="G155" s="3" t="inlineStr">
        <is>
          <t>Medium</t>
        </is>
      </c>
      <c r="H155" s="3" t="inlineStr">
        <is>
          <t>Antibiotic alternative in feed</t>
        </is>
      </c>
      <c r="I155" s="3" t="inlineStr">
        <is>
          <t>Gut health, immune support</t>
        </is>
      </c>
      <c r="J155" s="3" t="inlineStr">
        <is>
          <t>Active</t>
        </is>
      </c>
      <c r="K155" s="3" t="inlineStr">
        <is>
          <t>Plant Extract</t>
        </is>
      </c>
      <c r="L155" s="3" t="inlineStr">
        <is>
          <t>Feed mills, alternative-to-antibiotics companies</t>
        </is>
      </c>
      <c r="M155" s="3" t="inlineStr">
        <is>
          <t>Medium</t>
        </is>
      </c>
      <c r="N155" s="3" t="inlineStr">
        <is>
          <t>Low</t>
        </is>
      </c>
      <c r="O155" s="3" t="inlineStr">
        <is>
          <t>High</t>
        </is>
      </c>
    </row>
    <row r="156" ht="15.75" customHeight="1" s="19">
      <c r="A156" s="3" t="n">
        <v>143</v>
      </c>
      <c r="B156" s="3" t="inlineStr">
        <is>
          <t>Choline Chloride</t>
        </is>
      </c>
      <c r="C156" s="3" t="inlineStr">
        <is>
          <t>Feed Ingredients</t>
        </is>
      </c>
      <c r="D156" s="3" t="inlineStr">
        <is>
          <t>292300</t>
        </is>
      </c>
      <c r="E156" s="3" t="inlineStr">
        <is>
          <t>Quaternary ammonium salts and hydroxides</t>
        </is>
      </c>
      <c r="F156" s="3" t="inlineStr">
        <is>
          <t>Vitamin B4 / Feed Additive</t>
        </is>
      </c>
      <c r="G156" s="3" t="inlineStr">
        <is>
          <t>High</t>
        </is>
      </c>
      <c r="H156" s="3" t="inlineStr">
        <is>
          <t>Essential nutrient in poultry/swine feed</t>
        </is>
      </c>
      <c r="I156" s="3" t="inlineStr">
        <is>
          <t>Liver health</t>
        </is>
      </c>
      <c r="J156" s="3" t="inlineStr">
        <is>
          <t>Bulk</t>
        </is>
      </c>
      <c r="K156" s="3" t="inlineStr">
        <is>
          <t>Quaternary Ammonium Salt</t>
        </is>
      </c>
      <c r="L156" s="3" t="inlineStr">
        <is>
          <t>Feed mills, premix manufacturers</t>
        </is>
      </c>
      <c r="M156" s="3" t="inlineStr">
        <is>
          <t>Low</t>
        </is>
      </c>
      <c r="N156" s="3" t="inlineStr">
        <is>
          <t>High</t>
        </is>
      </c>
      <c r="O156" s="3" t="inlineStr">
        <is>
          <t>Low</t>
        </is>
      </c>
    </row>
    <row r="157" ht="15.75" customHeight="1" s="19">
      <c r="A157" s="11" t="n"/>
      <c r="B157" s="11" t="inlineStr">
        <is>
          <t>▶ Personal &amp; HomeCare</t>
        </is>
      </c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</row>
    <row r="158" ht="15.75" customHeight="1" s="19">
      <c r="A158" s="3" t="n">
        <v>144</v>
      </c>
      <c r="B158" s="3" t="inlineStr">
        <is>
          <t>Sodium Lauryl Sulfate (SLS)</t>
        </is>
      </c>
      <c r="C158" s="3" t="inlineStr">
        <is>
          <t>Personal &amp; HomeCare</t>
        </is>
      </c>
      <c r="D158" s="3" t="inlineStr">
        <is>
          <t>340211</t>
        </is>
      </c>
      <c r="E158" s="3" t="inlineStr">
        <is>
          <t>Anionic organic surface-active agents</t>
        </is>
      </c>
      <c r="F158" s="3" t="inlineStr">
        <is>
          <t>Anionic Surfactant</t>
        </is>
      </c>
      <c r="G158" s="3" t="inlineStr">
        <is>
          <t>High</t>
        </is>
      </c>
      <c r="H158" s="3" t="inlineStr">
        <is>
          <t>Shampoos, toothpaste</t>
        </is>
      </c>
      <c r="I158" s="3" t="inlineStr">
        <is>
          <t>Industrial cleaners</t>
        </is>
      </c>
      <c r="J158" s="3" t="inlineStr">
        <is>
          <t>Bulk</t>
        </is>
      </c>
      <c r="K158" s="3" t="inlineStr">
        <is>
          <t>Primary Surfactant</t>
        </is>
      </c>
      <c r="L158" s="3" t="inlineStr">
        <is>
          <t>FMCG companies, toothpaste makers, detergent manufacturers</t>
        </is>
      </c>
      <c r="M158" s="3" t="inlineStr">
        <is>
          <t>Low</t>
        </is>
      </c>
      <c r="N158" s="3" t="inlineStr">
        <is>
          <t>High</t>
        </is>
      </c>
      <c r="O158" s="3" t="inlineStr">
        <is>
          <t>Low</t>
        </is>
      </c>
    </row>
    <row r="159" ht="15.75" customHeight="1" s="19">
      <c r="A159" s="3" t="n">
        <v>145</v>
      </c>
      <c r="B159" s="3" t="inlineStr">
        <is>
          <t>Coco Glucoside</t>
        </is>
      </c>
      <c r="C159" s="3" t="inlineStr">
        <is>
          <t>Personal &amp; HomeCare</t>
        </is>
      </c>
      <c r="D159" s="3" t="inlineStr">
        <is>
          <t>340290</t>
        </is>
      </c>
      <c r="E159" s="3" t="inlineStr">
        <is>
          <t>Surface-active preparations nes</t>
        </is>
      </c>
      <c r="F159" s="3" t="inlineStr">
        <is>
          <t>Nonionic Surfactant</t>
        </is>
      </c>
      <c r="G159" s="3" t="inlineStr">
        <is>
          <t>High</t>
        </is>
      </c>
      <c r="H159" s="3" t="inlineStr">
        <is>
          <t>Baby care, sensitive skin cleansers</t>
        </is>
      </c>
      <c r="I159" s="3" t="inlineStr">
        <is>
          <t>Natural / organic formulations</t>
        </is>
      </c>
      <c r="J159" s="3" t="inlineStr">
        <is>
          <t>Bulk</t>
        </is>
      </c>
      <c r="K159" s="3" t="inlineStr">
        <is>
          <t>Alkyl Polyglucoside</t>
        </is>
      </c>
      <c r="L159" s="3" t="inlineStr">
        <is>
          <t>Natural cosmetic brands, baby care formulators, D2C brands</t>
        </is>
      </c>
      <c r="M159" s="3" t="inlineStr">
        <is>
          <t>Medium</t>
        </is>
      </c>
      <c r="N159" s="3" t="inlineStr">
        <is>
          <t>Medium</t>
        </is>
      </c>
      <c r="O159" s="3" t="inlineStr">
        <is>
          <t>Medium</t>
        </is>
      </c>
    </row>
    <row r="160" ht="15.75" customHeight="1" s="19">
      <c r="A160" s="3" t="n">
        <v>146</v>
      </c>
      <c r="B160" s="3" t="inlineStr">
        <is>
          <t>Cocamidopropyl Betaine</t>
        </is>
      </c>
      <c r="C160" s="3" t="inlineStr">
        <is>
          <t>Personal &amp; HomeCare</t>
        </is>
      </c>
      <c r="D160" s="3" t="inlineStr">
        <is>
          <t>340290</t>
        </is>
      </c>
      <c r="E160" s="3" t="inlineStr">
        <is>
          <t>Surface-active preparations nes</t>
        </is>
      </c>
      <c r="F160" s="3" t="inlineStr">
        <is>
          <t>Amphoteric Surfactant</t>
        </is>
      </c>
      <c r="G160" s="3" t="inlineStr">
        <is>
          <t>High</t>
        </is>
      </c>
      <c r="H160" s="3" t="inlineStr">
        <is>
          <t>Shampoos, body wash (foam booster)</t>
        </is>
      </c>
      <c r="I160" s="3" t="inlineStr">
        <is>
          <t>Baby care, facial cleansers</t>
        </is>
      </c>
      <c r="J160" s="3" t="inlineStr">
        <is>
          <t>Bulk</t>
        </is>
      </c>
      <c r="K160" s="3" t="inlineStr">
        <is>
          <t>Betaine Surfactant</t>
        </is>
      </c>
      <c r="L160" s="3" t="inlineStr">
        <is>
          <t>FMCG companies, contract manufacturers, D2C brands</t>
        </is>
      </c>
      <c r="M160" s="3" t="inlineStr">
        <is>
          <t>Low</t>
        </is>
      </c>
      <c r="N160" s="3" t="inlineStr">
        <is>
          <t>High</t>
        </is>
      </c>
      <c r="O160" s="3" t="inlineStr">
        <is>
          <t>Low</t>
        </is>
      </c>
    </row>
    <row r="161" ht="15.75" customHeight="1" s="19">
      <c r="A161" s="3" t="n">
        <v>147</v>
      </c>
      <c r="B161" s="3" t="inlineStr">
        <is>
          <t>Sodium Laureth Sulfate (SLES)</t>
        </is>
      </c>
      <c r="C161" s="3" t="inlineStr">
        <is>
          <t>Personal &amp; HomeCare</t>
        </is>
      </c>
      <c r="D161" s="3" t="inlineStr">
        <is>
          <t>340211</t>
        </is>
      </c>
      <c r="E161" s="3" t="inlineStr">
        <is>
          <t>Anionic organic surface-active agents</t>
        </is>
      </c>
      <c r="F161" s="3" t="inlineStr">
        <is>
          <t>Anionic Surfactant</t>
        </is>
      </c>
      <c r="G161" s="3" t="inlineStr">
        <is>
          <t>High</t>
        </is>
      </c>
      <c r="H161" s="3" t="inlineStr">
        <is>
          <t>Shampoos, shower gels</t>
        </is>
      </c>
      <c r="I161" s="3" t="inlineStr">
        <is>
          <t>Household cleaners</t>
        </is>
      </c>
      <c r="J161" s="3" t="inlineStr">
        <is>
          <t>Bulk</t>
        </is>
      </c>
      <c r="K161" s="3" t="inlineStr">
        <is>
          <t>Ethoxylated Sulfate</t>
        </is>
      </c>
      <c r="L161" s="3" t="inlineStr">
        <is>
          <t>FMCG companies, detergent makers, contract manufacturers</t>
        </is>
      </c>
      <c r="M161" s="3" t="inlineStr">
        <is>
          <t>Low</t>
        </is>
      </c>
      <c r="N161" s="3" t="inlineStr">
        <is>
          <t>High</t>
        </is>
      </c>
      <c r="O161" s="3" t="inlineStr">
        <is>
          <t>Low</t>
        </is>
      </c>
    </row>
    <row r="162" ht="15.75" customHeight="1" s="19">
      <c r="A162" s="3" t="n">
        <v>148</v>
      </c>
      <c r="B162" s="3" t="inlineStr">
        <is>
          <t>Lauryl Alcohol Ethoxylate</t>
        </is>
      </c>
      <c r="C162" s="3" t="inlineStr">
        <is>
          <t>Personal &amp; HomeCare</t>
        </is>
      </c>
      <c r="D162" s="3" t="inlineStr">
        <is>
          <t>340219</t>
        </is>
      </c>
      <c r="E162" s="3" t="inlineStr">
        <is>
          <t>Other anionic organic surface-active agents</t>
        </is>
      </c>
      <c r="F162" s="3" t="inlineStr">
        <is>
          <t>Nonionic Surfactant</t>
        </is>
      </c>
      <c r="G162" s="3" t="inlineStr">
        <is>
          <t>High</t>
        </is>
      </c>
      <c r="H162" s="3" t="inlineStr">
        <is>
          <t>Industrial &amp; household cleaners</t>
        </is>
      </c>
      <c r="I162" s="3" t="inlineStr">
        <is>
          <t>Textile processing</t>
        </is>
      </c>
      <c r="J162" s="3" t="inlineStr">
        <is>
          <t>Bulk</t>
        </is>
      </c>
      <c r="K162" s="3" t="inlineStr">
        <is>
          <t>Ethoxylated Alcohol</t>
        </is>
      </c>
      <c r="L162" s="3" t="inlineStr">
        <is>
          <t>Detergent makers, textile mills, industrial cleaners</t>
        </is>
      </c>
      <c r="M162" s="3" t="inlineStr">
        <is>
          <t>Low</t>
        </is>
      </c>
      <c r="N162" s="3" t="inlineStr">
        <is>
          <t>High</t>
        </is>
      </c>
      <c r="O162" s="3" t="inlineStr">
        <is>
          <t>Low</t>
        </is>
      </c>
    </row>
    <row r="163" ht="15.75" customHeight="1" s="19">
      <c r="A163" s="3" t="n">
        <v>149</v>
      </c>
      <c r="B163" s="3" t="inlineStr">
        <is>
          <t>LateStearyl Alcohol Ethoxylate</t>
        </is>
      </c>
      <c r="C163" s="3" t="inlineStr">
        <is>
          <t>Personal &amp; HomeCare</t>
        </is>
      </c>
      <c r="D163" s="3" t="inlineStr">
        <is>
          <t>340290</t>
        </is>
      </c>
      <c r="E163" s="3" t="inlineStr">
        <is>
          <t>Surface-active preparations nes</t>
        </is>
      </c>
      <c r="F163" s="3" t="inlineStr">
        <is>
          <t>Nonionic Surfactant</t>
        </is>
      </c>
      <c r="G163" s="3" t="inlineStr">
        <is>
          <t>Medium</t>
        </is>
      </c>
      <c r="H163" s="3" t="inlineStr">
        <is>
          <t>Emulsifiers for creams/lotions</t>
        </is>
      </c>
      <c r="I163" s="3" t="inlineStr">
        <is>
          <t>Textile auxiliaries</t>
        </is>
      </c>
      <c r="J163" s="3" t="inlineStr">
        <is>
          <t>Bulk</t>
        </is>
      </c>
      <c r="K163" s="3" t="inlineStr">
        <is>
          <t>Ethoxylated Alcohol</t>
        </is>
      </c>
      <c r="L163" s="3" t="inlineStr">
        <is>
          <t>Cosmetic formulators, textile mills</t>
        </is>
      </c>
      <c r="M163" s="3" t="inlineStr">
        <is>
          <t>Low</t>
        </is>
      </c>
      <c r="N163" s="3" t="inlineStr">
        <is>
          <t>Medium</t>
        </is>
      </c>
      <c r="O163" s="3" t="inlineStr">
        <is>
          <t>Low</t>
        </is>
      </c>
    </row>
    <row r="164" ht="15.75" customHeight="1" s="19">
      <c r="A164" s="3" t="n">
        <v>150</v>
      </c>
      <c r="B164" s="3" t="inlineStr">
        <is>
          <t>Carboxymethylcellulose (CMC)</t>
        </is>
      </c>
      <c r="C164" s="3" t="inlineStr">
        <is>
          <t>Personal &amp; HomeCare</t>
        </is>
      </c>
      <c r="D164" s="3" t="inlineStr">
        <is>
          <t>391232</t>
        </is>
      </c>
      <c r="E164" s="3" t="inlineStr">
        <is>
          <t>Carboxymethylcellulose and its salts</t>
        </is>
      </c>
      <c r="F164" s="3" t="inlineStr">
        <is>
          <t>Thickener / Stabilizer</t>
        </is>
      </c>
      <c r="G164" s="3" t="inlineStr">
        <is>
          <t>High</t>
        </is>
      </c>
      <c r="H164" s="3" t="inlineStr">
        <is>
          <t>Toothpaste, detergents</t>
        </is>
      </c>
      <c r="I164" s="3" t="inlineStr">
        <is>
          <t>Food, pharma, oil drilling</t>
        </is>
      </c>
      <c r="J164" s="3" t="inlineStr">
        <is>
          <t>Bulk</t>
        </is>
      </c>
      <c r="K164" s="3" t="inlineStr">
        <is>
          <t>Cellulose Derivative</t>
        </is>
      </c>
      <c r="L164" s="3" t="inlineStr">
        <is>
          <t>Toothpaste makers, food processors, oil drilling companies</t>
        </is>
      </c>
      <c r="M164" s="3" t="inlineStr">
        <is>
          <t>Low</t>
        </is>
      </c>
      <c r="N164" s="3" t="inlineStr">
        <is>
          <t>High</t>
        </is>
      </c>
      <c r="O164" s="3" t="inlineStr">
        <is>
          <t>Low</t>
        </is>
      </c>
    </row>
    <row r="165" ht="15.75" customHeight="1" s="19">
      <c r="A165" s="3" t="n">
        <v>151</v>
      </c>
      <c r="B165" s="3" t="inlineStr">
        <is>
          <t>Alpha Olefin Sulfonate (AOS)</t>
        </is>
      </c>
      <c r="C165" s="3" t="inlineStr">
        <is>
          <t>Personal &amp; HomeCare</t>
        </is>
      </c>
      <c r="D165" s="3" t="inlineStr">
        <is>
          <t>340211</t>
        </is>
      </c>
      <c r="E165" s="3" t="inlineStr">
        <is>
          <t>Anionic organic surface-active agents</t>
        </is>
      </c>
      <c r="F165" s="3" t="inlineStr">
        <is>
          <t>Anionic Surfactant</t>
        </is>
      </c>
      <c r="G165" s="3" t="inlineStr">
        <is>
          <t>High</t>
        </is>
      </c>
      <c r="H165" s="3" t="inlineStr">
        <is>
          <t>Shampoos, liquid detergents</t>
        </is>
      </c>
      <c r="I165" s="3" t="inlineStr">
        <is>
          <t>Industrial cleaning</t>
        </is>
      </c>
      <c r="J165" s="3" t="inlineStr">
        <is>
          <t>Bulk</t>
        </is>
      </c>
      <c r="K165" s="3" t="inlineStr">
        <is>
          <t>Olefin Sulfonate</t>
        </is>
      </c>
      <c r="L165" s="3" t="inlineStr">
        <is>
          <t>FMCG companies, detergent makers</t>
        </is>
      </c>
      <c r="M165" s="3" t="inlineStr">
        <is>
          <t>Low</t>
        </is>
      </c>
      <c r="N165" s="3" t="inlineStr">
        <is>
          <t>High</t>
        </is>
      </c>
      <c r="O165" s="3" t="inlineStr">
        <is>
          <t>Low</t>
        </is>
      </c>
    </row>
    <row r="166" ht="15.75" customHeight="1" s="19">
      <c r="A166" s="3" t="n">
        <v>152</v>
      </c>
      <c r="B166" s="3" t="inlineStr">
        <is>
          <t>Niacinamide</t>
        </is>
      </c>
      <c r="C166" s="3" t="inlineStr">
        <is>
          <t>Personal &amp; HomeCare</t>
        </is>
      </c>
      <c r="D166" s="3" t="inlineStr">
        <is>
          <t>293392</t>
        </is>
      </c>
      <c r="E166" s="3" t="inlineStr">
        <is>
          <t>Nicotinamide (INN) and nicotinic acid</t>
        </is>
      </c>
      <c r="F166" s="3" t="inlineStr">
        <is>
          <t>Skin Active (Vitamin B3)</t>
        </is>
      </c>
      <c r="G166" s="3" t="inlineStr">
        <is>
          <t>High</t>
        </is>
      </c>
      <c r="H166" s="3" t="inlineStr">
        <is>
          <t>Brightening serums, moisturizers</t>
        </is>
      </c>
      <c r="I166" s="3" t="inlineStr">
        <is>
          <t>Anti-aging, barrier repair</t>
        </is>
      </c>
      <c r="J166" s="3" t="inlineStr">
        <is>
          <t>Active</t>
        </is>
      </c>
      <c r="K166" s="3" t="inlineStr">
        <is>
          <t>Vitamin Derivative</t>
        </is>
      </c>
      <c r="L166" s="3" t="inlineStr">
        <is>
          <t>D2C skincare brands, cosmetic formulators, pharma</t>
        </is>
      </c>
      <c r="M166" s="3" t="inlineStr">
        <is>
          <t>Medium</t>
        </is>
      </c>
      <c r="N166" s="3" t="inlineStr">
        <is>
          <t>High</t>
        </is>
      </c>
      <c r="O166" s="3" t="inlineStr">
        <is>
          <t>Medium</t>
        </is>
      </c>
    </row>
    <row r="167" ht="15.75" customHeight="1" s="19">
      <c r="A167" s="3" t="n">
        <v>153</v>
      </c>
      <c r="B167" s="3" t="inlineStr">
        <is>
          <t>Sodium / Disodium EDTA</t>
        </is>
      </c>
      <c r="C167" s="3" t="inlineStr">
        <is>
          <t>Personal &amp; HomeCare</t>
        </is>
      </c>
      <c r="D167" s="3" t="inlineStr">
        <is>
          <t>292249</t>
        </is>
      </c>
      <c r="E167" s="3" t="inlineStr">
        <is>
          <t>Other amino acids and their esters; salts</t>
        </is>
      </c>
      <c r="F167" s="3" t="inlineStr">
        <is>
          <t>Chelating Agent</t>
        </is>
      </c>
      <c r="G167" s="3" t="inlineStr">
        <is>
          <t>High</t>
        </is>
      </c>
      <c r="H167" s="3" t="inlineStr">
        <is>
          <t>Stabilizer in cosmetic formulations</t>
        </is>
      </c>
      <c r="I167" s="3" t="inlineStr">
        <is>
          <t>Water treatment, food preservation</t>
        </is>
      </c>
      <c r="J167" s="3" t="inlineStr">
        <is>
          <t>Bulk</t>
        </is>
      </c>
      <c r="K167" s="3" t="inlineStr">
        <is>
          <t>Aminocarboxylate Chelator</t>
        </is>
      </c>
      <c r="L167" s="3" t="inlineStr">
        <is>
          <t>Cosmetic manufacturers, water treatment, food processors</t>
        </is>
      </c>
      <c r="M167" s="3" t="inlineStr">
        <is>
          <t>Low</t>
        </is>
      </c>
      <c r="N167" s="3" t="inlineStr">
        <is>
          <t>High</t>
        </is>
      </c>
      <c r="O167" s="3" t="inlineStr">
        <is>
          <t>Low</t>
        </is>
      </c>
    </row>
    <row r="168" ht="15.75" customHeight="1" s="19">
      <c r="A168" s="3" t="n">
        <v>154</v>
      </c>
      <c r="B168" s="3" t="inlineStr">
        <is>
          <t>Polysorbate AT</t>
        </is>
      </c>
      <c r="C168" s="3" t="inlineStr">
        <is>
          <t>Personal &amp; HomeCare</t>
        </is>
      </c>
      <c r="D168" s="3" t="inlineStr">
        <is>
          <t>340290</t>
        </is>
      </c>
      <c r="E168" s="3" t="inlineStr">
        <is>
          <t>Surface-active preparations nes</t>
        </is>
      </c>
      <c r="F168" s="3" t="inlineStr">
        <is>
          <t>Nonionic Surfactant / Solubilizer</t>
        </is>
      </c>
      <c r="G168" s="3" t="inlineStr">
        <is>
          <t>High</t>
        </is>
      </c>
      <c r="H168" s="3" t="inlineStr">
        <is>
          <t>Fragrance solubilization</t>
        </is>
      </c>
      <c r="I168" s="3" t="inlineStr">
        <is>
          <t>Pharma emulsification</t>
        </is>
      </c>
      <c r="J168" s="3" t="inlineStr">
        <is>
          <t>Bulk</t>
        </is>
      </c>
      <c r="K168" s="3" t="inlineStr">
        <is>
          <t>Polysorbate Emulsifier</t>
        </is>
      </c>
      <c r="L168" s="3" t="inlineStr">
        <is>
          <t>Cosmetic formulators, pharma companies</t>
        </is>
      </c>
      <c r="M168" s="3" t="inlineStr">
        <is>
          <t>Low</t>
        </is>
      </c>
      <c r="N168" s="3" t="inlineStr">
        <is>
          <t>Medium</t>
        </is>
      </c>
      <c r="O168" s="3" t="inlineStr">
        <is>
          <t>Low</t>
        </is>
      </c>
    </row>
    <row r="169" ht="15.75" customHeight="1" s="19">
      <c r="A169" s="3" t="n">
        <v>155</v>
      </c>
      <c r="B169" s="3" t="inlineStr">
        <is>
          <t>Phenoxyethanol</t>
        </is>
      </c>
      <c r="C169" s="3" t="inlineStr">
        <is>
          <t>Personal &amp; HomeCare</t>
        </is>
      </c>
      <c r="D169" s="3" t="inlineStr">
        <is>
          <t>290942</t>
        </is>
      </c>
      <c r="E169" s="3" t="inlineStr">
        <is>
          <t>Other ethers of aromatic alcohols</t>
        </is>
      </c>
      <c r="F169" s="3" t="inlineStr">
        <is>
          <t>Preservative</t>
        </is>
      </c>
      <c r="G169" s="3" t="inlineStr">
        <is>
          <t>High</t>
        </is>
      </c>
      <c r="H169" s="3" t="inlineStr">
        <is>
          <t>Cosmetics preservation (global standard)</t>
        </is>
      </c>
      <c r="I169" s="3" t="inlineStr">
        <is>
          <t>Pharma, baby care</t>
        </is>
      </c>
      <c r="J169" s="3" t="inlineStr">
        <is>
          <t>Bulk</t>
        </is>
      </c>
      <c r="K169" s="3" t="inlineStr">
        <is>
          <t>Glycol Ether Preservative</t>
        </is>
      </c>
      <c r="L169" s="3" t="inlineStr">
        <is>
          <t>All cosmetic manufacturers, pharma companies</t>
        </is>
      </c>
      <c r="M169" s="3" t="inlineStr">
        <is>
          <t>Low</t>
        </is>
      </c>
      <c r="N169" s="3" t="inlineStr">
        <is>
          <t>High</t>
        </is>
      </c>
      <c r="O169" s="3" t="inlineStr">
        <is>
          <t>Low</t>
        </is>
      </c>
    </row>
    <row r="170" ht="15.75" customHeight="1" s="19">
      <c r="A170" s="3" t="n">
        <v>156</v>
      </c>
      <c r="B170" s="3" t="inlineStr">
        <is>
          <t>Lauryl Amine Oxide</t>
        </is>
      </c>
      <c r="C170" s="3" t="inlineStr">
        <is>
          <t>Personal &amp; HomeCare</t>
        </is>
      </c>
      <c r="D170" s="3" t="inlineStr">
        <is>
          <t>292090</t>
        </is>
      </c>
      <c r="E170" s="3" t="inlineStr">
        <is>
          <t>Other amines and their salts nes</t>
        </is>
      </c>
      <c r="F170" s="3" t="inlineStr">
        <is>
          <t>Amphoteric Surfactant</t>
        </is>
      </c>
      <c r="G170" s="3" t="inlineStr">
        <is>
          <t>High</t>
        </is>
      </c>
      <c r="H170" s="3" t="inlineStr">
        <is>
          <t>Foam booster in shampoos</t>
        </is>
      </c>
      <c r="I170" s="3" t="inlineStr">
        <is>
          <t>Household cleaners</t>
        </is>
      </c>
      <c r="J170" s="3" t="inlineStr">
        <is>
          <t>Bulk</t>
        </is>
      </c>
      <c r="K170" s="3" t="inlineStr">
        <is>
          <t>Amine Oxide</t>
        </is>
      </c>
      <c r="L170" s="3" t="inlineStr">
        <is>
          <t>FMCG companies, household cleaner manufacturers</t>
        </is>
      </c>
      <c r="M170" s="3" t="inlineStr">
        <is>
          <t>Low</t>
        </is>
      </c>
      <c r="N170" s="3" t="inlineStr">
        <is>
          <t>High</t>
        </is>
      </c>
      <c r="O170" s="3" t="inlineStr">
        <is>
          <t>Low</t>
        </is>
      </c>
    </row>
    <row r="171" ht="15.75" customHeight="1" s="19">
      <c r="A171" s="3" t="n">
        <v>157</v>
      </c>
      <c r="B171" s="3" t="inlineStr">
        <is>
          <t>GMS (Glyceryl Monostearate)</t>
        </is>
      </c>
      <c r="C171" s="3" t="inlineStr">
        <is>
          <t>Personal &amp; HomeCare</t>
        </is>
      </c>
      <c r="D171" s="3" t="inlineStr">
        <is>
          <t>291590</t>
        </is>
      </c>
      <c r="E171" s="3" t="inlineStr">
        <is>
          <t>Other esters of saturated acyclic monocarboxylic acids</t>
        </is>
      </c>
      <c r="F171" s="3" t="inlineStr">
        <is>
          <t>Emulsifier / Thickener</t>
        </is>
      </c>
      <c r="G171" s="3" t="inlineStr">
        <is>
          <t>High</t>
        </is>
      </c>
      <c r="H171" s="3" t="inlineStr">
        <is>
          <t>Creams, lotions, food emulsification</t>
        </is>
      </c>
      <c r="I171" s="3" t="inlineStr">
        <is>
          <t>Pharmaceutical ointments</t>
        </is>
      </c>
      <c r="J171" s="3" t="inlineStr">
        <is>
          <t>Bulk</t>
        </is>
      </c>
      <c r="K171" s="3" t="inlineStr">
        <is>
          <t>Glyceryl Ester</t>
        </is>
      </c>
      <c r="L171" s="3" t="inlineStr">
        <is>
          <t>Cosmetic manufacturers, food processors, pharma</t>
        </is>
      </c>
      <c r="M171" s="3" t="inlineStr">
        <is>
          <t>Low</t>
        </is>
      </c>
      <c r="N171" s="3" t="inlineStr">
        <is>
          <t>High</t>
        </is>
      </c>
      <c r="O171" s="3" t="inlineStr">
        <is>
          <t>Low</t>
        </is>
      </c>
    </row>
    <row r="172" ht="15.75" customHeight="1" s="19">
      <c r="A172" s="3" t="n">
        <v>158</v>
      </c>
      <c r="B172" s="3" t="inlineStr">
        <is>
          <t>Monoethanol Amide</t>
        </is>
      </c>
      <c r="C172" s="3" t="inlineStr">
        <is>
          <t>Personal &amp; HomeCare</t>
        </is>
      </c>
      <c r="D172" s="3" t="inlineStr">
        <is>
          <t>291529</t>
        </is>
      </c>
      <c r="E172" s="3" t="inlineStr">
        <is>
          <t>Other saturated acyclic monocarboxylic acids nes</t>
        </is>
      </c>
      <c r="F172" s="3" t="inlineStr">
        <is>
          <t>Foam Booster / Thickener</t>
        </is>
      </c>
      <c r="G172" s="3" t="inlineStr">
        <is>
          <t>High</t>
        </is>
      </c>
      <c r="H172" s="3" t="inlineStr">
        <is>
          <t>Shampoos, liquid soaps</t>
        </is>
      </c>
      <c r="I172" s="3" t="inlineStr">
        <is>
          <t>Household detergents</t>
        </is>
      </c>
      <c r="J172" s="3" t="inlineStr">
        <is>
          <t>Bulk</t>
        </is>
      </c>
      <c r="K172" s="3" t="inlineStr">
        <is>
          <t>Alkanolamide</t>
        </is>
      </c>
      <c r="L172" s="3" t="inlineStr">
        <is>
          <t>FMCG companies, detergent manufacturers</t>
        </is>
      </c>
      <c r="M172" s="3" t="inlineStr">
        <is>
          <t>Low</t>
        </is>
      </c>
      <c r="N172" s="3" t="inlineStr">
        <is>
          <t>High</t>
        </is>
      </c>
      <c r="O172" s="3" t="inlineStr">
        <is>
          <t>Low</t>
        </is>
      </c>
    </row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mergeCells count="1">
    <mergeCell ref="A1:N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A28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9" min="14" max="14"/>
    <col width="18" customWidth="1" style="19" min="15" max="15"/>
    <col width="14" customWidth="1" style="19" min="16" max="16"/>
    <col width="14" customWidth="1" style="19" min="17" max="17"/>
    <col width="12" customWidth="1" style="19" min="18" max="18"/>
    <col width="55" customWidth="1" style="19" min="19" max="19"/>
    <col width="70" customWidth="1" style="19" min="20" max="20"/>
  </cols>
  <sheetData>
    <row r="1">
      <c r="A1" s="5" t="inlineStr">
        <is>
          <t>partnership@m-mines.com</t>
        </is>
      </c>
      <c r="B1" s="5" t="inlineStr">
        <is>
          <t>Aditya@9920</t>
        </is>
      </c>
    </row>
    <row r="2">
      <c r="A2" s="13" t="inlineStr">
        <is>
          <t>2Y Shipments</t>
        </is>
      </c>
      <c r="B2" s="13" t="inlineStr">
        <is>
          <t>HSN Code</t>
        </is>
      </c>
      <c r="C2" s="13" t="inlineStr">
        <is>
          <t>HSN Code</t>
        </is>
      </c>
      <c r="D2" s="13" t="inlineStr">
        <is>
          <t>HSN Code</t>
        </is>
      </c>
      <c r="E2" s="13" t="inlineStr">
        <is>
          <t>HSN Code</t>
        </is>
      </c>
      <c r="F2" s="13" t="inlineStr">
        <is>
          <t>HSN Code</t>
        </is>
      </c>
      <c r="G2" s="13" t="inlineStr">
        <is>
          <t>HSN Code</t>
        </is>
      </c>
      <c r="H2" s="13" t="inlineStr">
        <is>
          <t>HSN Code</t>
        </is>
      </c>
      <c r="I2" s="13" t="inlineStr">
        <is>
          <t>HSN Code</t>
        </is>
      </c>
      <c r="J2" s="13" t="inlineStr">
        <is>
          <t>HSN Code</t>
        </is>
      </c>
      <c r="K2" s="13" t="inlineStr">
        <is>
          <t>HSN Code</t>
        </is>
      </c>
      <c r="L2" s="13" t="n"/>
      <c r="M2" s="13" t="inlineStr">
        <is>
          <t>2Y Shipments</t>
        </is>
      </c>
      <c r="N2" s="13" t="inlineStr">
        <is>
          <t>HSN</t>
        </is>
      </c>
      <c r="O2" s="13" t="inlineStr">
        <is>
          <t>Count</t>
        </is>
      </c>
      <c r="P2" s="13" t="inlineStr">
        <is>
          <t>Discription</t>
        </is>
      </c>
      <c r="Q2" s="13" t="n"/>
      <c r="R2" s="13" t="n"/>
      <c r="S2" s="13" t="n"/>
      <c r="T2" s="13" t="n"/>
      <c r="U2" s="13" t="n"/>
      <c r="V2" s="13" t="n"/>
      <c r="W2" s="13" t="n"/>
      <c r="X2" s="13" t="n"/>
      <c r="Y2" s="13" t="n"/>
      <c r="Z2" s="13" t="n"/>
      <c r="AA2" s="13" t="n"/>
    </row>
    <row r="3">
      <c r="A3" s="16" t="inlineStr">
        <is>
          <t>173k</t>
        </is>
      </c>
      <c r="B3" s="5" t="n">
        <v>1302</v>
      </c>
      <c r="C3" s="5" t="n">
        <v>1507</v>
      </c>
      <c r="D3" s="5" t="n">
        <v>1513</v>
      </c>
      <c r="E3" s="5" t="n">
        <v>1702</v>
      </c>
      <c r="F3" s="5" t="n">
        <v>1805</v>
      </c>
      <c r="G3" s="5" t="n">
        <v>2007</v>
      </c>
      <c r="H3" s="5" t="n">
        <v>2511</v>
      </c>
      <c r="I3" s="5" t="n">
        <v>2528</v>
      </c>
      <c r="J3" s="5" t="n">
        <v>2615</v>
      </c>
      <c r="K3" s="5" t="n">
        <v>2803</v>
      </c>
      <c r="L3" s="16" t="n"/>
      <c r="M3" s="16" t="inlineStr">
        <is>
          <t>27k</t>
        </is>
      </c>
      <c r="N3" s="5" t="n">
        <v>2843</v>
      </c>
      <c r="O3" s="5" t="n">
        <v>31</v>
      </c>
      <c r="P3" s="5" t="inlineStr">
        <is>
          <t>Precious metal compounds (Ag, Au, Pd, Rh, Ru, Ir)</t>
        </is>
      </c>
    </row>
    <row r="4">
      <c r="A4" s="16" t="inlineStr">
        <is>
          <t>84k</t>
        </is>
      </c>
      <c r="B4" s="5" t="n">
        <v>2804</v>
      </c>
      <c r="C4" s="5" t="n">
        <v>2808</v>
      </c>
      <c r="D4" s="5" t="n">
        <v>2811</v>
      </c>
      <c r="E4" s="5" t="n">
        <v>2812</v>
      </c>
      <c r="F4" s="5" t="n">
        <v>2815</v>
      </c>
      <c r="G4" s="5" t="n">
        <v>2818</v>
      </c>
      <c r="H4" s="5" t="n">
        <v>2819</v>
      </c>
      <c r="I4" s="5" t="n">
        <v>2820</v>
      </c>
      <c r="J4" s="5" t="n">
        <v>2821</v>
      </c>
      <c r="K4" s="5" t="n">
        <v>2822</v>
      </c>
      <c r="L4" s="16" t="n"/>
      <c r="M4" s="16" t="inlineStr">
        <is>
          <t>55k</t>
        </is>
      </c>
      <c r="N4" s="5" t="n">
        <v>2931</v>
      </c>
      <c r="O4" s="5" t="n">
        <v>22</v>
      </c>
      <c r="P4" s="5" t="inlineStr">
        <is>
          <t>Organo-metallic compounds (Grignard reagents, carbonyls)</t>
        </is>
      </c>
    </row>
    <row r="5">
      <c r="A5" s="16" t="inlineStr">
        <is>
          <t>3.3k</t>
        </is>
      </c>
      <c r="B5" s="5" t="n">
        <v>2824</v>
      </c>
      <c r="C5" s="5" t="n">
        <v>2825</v>
      </c>
      <c r="D5" s="5" t="n">
        <v>2826</v>
      </c>
      <c r="E5" s="5" t="n">
        <v>2827</v>
      </c>
      <c r="F5" s="5" t="n">
        <v>2829</v>
      </c>
      <c r="G5" s="5" t="n">
        <v>2830</v>
      </c>
      <c r="H5" s="5" t="n">
        <v>2833</v>
      </c>
      <c r="I5" s="5" t="n">
        <v>2834</v>
      </c>
      <c r="J5" s="5" t="n">
        <v>2835</v>
      </c>
      <c r="K5" s="5" t="n">
        <v>2836</v>
      </c>
      <c r="L5" s="16" t="n"/>
      <c r="M5" s="16" t="inlineStr">
        <is>
          <t>137k</t>
        </is>
      </c>
      <c r="N5" s="5" t="n">
        <v>2833</v>
      </c>
      <c r="O5" s="5" t="n">
        <v>19</v>
      </c>
      <c r="P5" s="5" t="inlineStr">
        <is>
          <t>Sulphates</t>
        </is>
      </c>
    </row>
    <row r="6">
      <c r="A6" s="16" t="inlineStr">
        <is>
          <t>13.2k</t>
        </is>
      </c>
      <c r="B6" s="5" t="n">
        <v>2837</v>
      </c>
      <c r="C6" s="5" t="n">
        <v>2840</v>
      </c>
      <c r="D6" s="5" t="n">
        <v>2841</v>
      </c>
      <c r="E6" s="5" t="n">
        <v>2842</v>
      </c>
      <c r="F6" s="5" t="n">
        <v>2843</v>
      </c>
      <c r="G6" s="5" t="n">
        <v>2846</v>
      </c>
      <c r="H6" s="5" t="n">
        <v>2852</v>
      </c>
      <c r="I6" s="5" t="n">
        <v>2902</v>
      </c>
      <c r="J6" s="5" t="n">
        <v>2903</v>
      </c>
      <c r="K6" s="5" t="n">
        <v>2905</v>
      </c>
      <c r="L6" s="16" t="n"/>
      <c r="M6" s="16" t="inlineStr">
        <is>
          <t>352k</t>
        </is>
      </c>
      <c r="N6" s="5" t="n">
        <v>2915</v>
      </c>
      <c r="O6" s="5" t="n">
        <v>19</v>
      </c>
      <c r="P6" s="5" t="inlineStr">
        <is>
          <t>Metal acetates &amp; fatty amides</t>
        </is>
      </c>
    </row>
    <row r="7">
      <c r="A7" s="16" t="inlineStr">
        <is>
          <t>95k</t>
        </is>
      </c>
      <c r="B7" s="5" t="n">
        <v>2909</v>
      </c>
      <c r="C7" s="5" t="n">
        <v>2915</v>
      </c>
      <c r="D7" s="5" t="n">
        <v>2917</v>
      </c>
      <c r="E7" s="5" t="n">
        <v>2918</v>
      </c>
      <c r="F7" s="5" t="n">
        <v>2919</v>
      </c>
      <c r="G7" s="5" t="n">
        <v>2920</v>
      </c>
      <c r="H7" s="5" t="n">
        <v>2921</v>
      </c>
      <c r="I7" s="5" t="n">
        <v>2922</v>
      </c>
      <c r="J7" s="5" t="n">
        <v>2930</v>
      </c>
      <c r="K7" s="5" t="n">
        <v>2931</v>
      </c>
      <c r="L7" s="16" t="n"/>
      <c r="M7" s="16" t="inlineStr">
        <is>
          <t>653k</t>
        </is>
      </c>
      <c r="N7" s="5" t="n">
        <v>3808</v>
      </c>
      <c r="O7" s="5" t="n">
        <v>19</v>
      </c>
      <c r="P7" s="5" t="inlineStr">
        <is>
          <t>Pesticides, herbicides, fungicides</t>
        </is>
      </c>
    </row>
    <row r="8">
      <c r="A8" s="16" t="inlineStr">
        <is>
          <t>303k</t>
        </is>
      </c>
      <c r="B8" s="5" t="n">
        <v>2933</v>
      </c>
      <c r="C8" s="5" t="n">
        <v>2934</v>
      </c>
      <c r="D8" s="5" t="n">
        <v>2936</v>
      </c>
      <c r="E8" s="5" t="n">
        <v>3204</v>
      </c>
      <c r="F8" s="5" t="n">
        <v>3206</v>
      </c>
      <c r="G8" s="5" t="n">
        <v>3302</v>
      </c>
      <c r="H8" s="5" t="n">
        <v>3402</v>
      </c>
      <c r="I8" s="5" t="n">
        <v>3404</v>
      </c>
      <c r="J8" s="5" t="n">
        <v>3501</v>
      </c>
      <c r="K8" s="5" t="n">
        <v>3504</v>
      </c>
      <c r="L8" s="16" t="n"/>
      <c r="M8" s="16" t="inlineStr">
        <is>
          <t>142k</t>
        </is>
      </c>
      <c r="N8" s="5" t="n">
        <v>2827</v>
      </c>
      <c r="O8" s="5" t="n">
        <v>15</v>
      </c>
      <c r="P8" s="5" t="inlineStr">
        <is>
          <t>Chlorides</t>
        </is>
      </c>
    </row>
    <row r="9">
      <c r="A9" s="16" t="inlineStr">
        <is>
          <t>142k</t>
        </is>
      </c>
      <c r="B9" s="5" t="n">
        <v>3505</v>
      </c>
      <c r="C9" s="5" t="n">
        <v>3507</v>
      </c>
      <c r="D9" s="5" t="n">
        <v>3802</v>
      </c>
      <c r="E9" s="5" t="n">
        <v>3808</v>
      </c>
      <c r="F9" s="5" t="n">
        <v>3824</v>
      </c>
      <c r="G9" s="5" t="n">
        <v>3901</v>
      </c>
      <c r="H9" s="5" t="n">
        <v>3902</v>
      </c>
      <c r="I9" s="5" t="n">
        <v>3904</v>
      </c>
      <c r="J9" s="5" t="n">
        <v>3906</v>
      </c>
      <c r="K9" s="5" t="n">
        <v>3912</v>
      </c>
      <c r="L9" s="16" t="n"/>
      <c r="M9" s="16" t="inlineStr">
        <is>
          <t>2124k</t>
        </is>
      </c>
      <c r="N9" s="5" t="n">
        <v>3402</v>
      </c>
      <c r="O9" s="5" t="n">
        <v>13</v>
      </c>
      <c r="P9" s="5" t="inlineStr">
        <is>
          <t>Surfactants / detergents</t>
        </is>
      </c>
    </row>
    <row r="10">
      <c r="A10" s="16" t="inlineStr">
        <is>
          <t>46k</t>
        </is>
      </c>
      <c r="B10" s="5" t="n">
        <v>3913</v>
      </c>
      <c r="C10" s="5" t="n">
        <v>7106</v>
      </c>
      <c r="D10" s="5" t="n">
        <v>7108</v>
      </c>
      <c r="E10" s="5" t="n">
        <v>7110</v>
      </c>
      <c r="F10" s="5" t="n">
        <v>7202</v>
      </c>
      <c r="G10" s="5" t="n">
        <v>7205</v>
      </c>
      <c r="H10" s="5" t="n">
        <v>7406</v>
      </c>
      <c r="I10" s="5" t="n">
        <v>7504</v>
      </c>
      <c r="J10" s="5" t="n">
        <v>7903</v>
      </c>
      <c r="K10" s="5" t="n">
        <v>8001</v>
      </c>
      <c r="L10" s="16" t="n"/>
      <c r="M10" s="16" t="inlineStr">
        <is>
          <t>47k</t>
        </is>
      </c>
      <c r="N10" s="5" t="n">
        <v>2825</v>
      </c>
      <c r="O10" s="5" t="n">
        <v>13</v>
      </c>
      <c r="P10" s="5" t="inlineStr">
        <is>
          <t>Fluorides &amp; metal oxides</t>
        </is>
      </c>
    </row>
    <row r="11">
      <c r="A11" s="16" t="inlineStr">
        <is>
          <t>19k</t>
        </is>
      </c>
      <c r="B11" s="5" t="n">
        <v>8102</v>
      </c>
      <c r="C11" s="5" t="n">
        <v>8105</v>
      </c>
      <c r="D11" s="5" t="n">
        <v>8106</v>
      </c>
      <c r="E11" s="5" t="n">
        <v>8108</v>
      </c>
      <c r="F11" s="5" t="n">
        <v>8110</v>
      </c>
      <c r="G11" s="5" t="n">
        <v>8111</v>
      </c>
      <c r="H11" s="5" t="n">
        <v>8112</v>
      </c>
      <c r="L11" s="16" t="n"/>
      <c r="M11" s="16" t="inlineStr">
        <is>
          <t>9k</t>
        </is>
      </c>
      <c r="N11" s="5" t="n">
        <v>2846</v>
      </c>
      <c r="O11" s="5" t="n">
        <v>16</v>
      </c>
      <c r="P11" s="5" t="inlineStr">
        <is>
          <t>Rare earth compounds</t>
        </is>
      </c>
    </row>
    <row r="12">
      <c r="N12" s="5" t="inlineStr">
        <is>
          <t xml:space="preserve">Give Downloads of reports </t>
        </is>
      </c>
    </row>
    <row r="15">
      <c r="N15" s="20" t="inlineStr">
        <is>
          <t>TOP 10 SIX-DIGIT HSN CODES FOR EXIM PRIORITY</t>
        </is>
      </c>
    </row>
    <row r="16">
      <c r="A16" s="21" t="n"/>
      <c r="B16" s="21" t="n"/>
      <c r="C16" s="21" t="n"/>
      <c r="D16" s="21" t="n"/>
      <c r="E16" s="21" t="n"/>
      <c r="F16" s="21" t="n"/>
      <c r="G16" s="21" t="n"/>
      <c r="N16" s="21" t="inlineStr">
        <is>
          <t>Rank</t>
        </is>
      </c>
      <c r="O16" s="21" t="inlineStr">
        <is>
          <t>HSN Code (6-digit)</t>
        </is>
      </c>
      <c r="P16" s="21" t="inlineStr">
        <is>
          <t>4-Digit Chapter</t>
        </is>
      </c>
      <c r="Q16" s="21" t="inlineStr">
        <is>
          <t>Chemical Count</t>
        </is>
      </c>
      <c r="R16" s="21" t="inlineStr">
        <is>
          <t>Source</t>
        </is>
      </c>
      <c r="S16" s="21" t="inlineStr">
        <is>
          <t>Description</t>
        </is>
      </c>
      <c r="T16" s="21" t="inlineStr">
        <is>
          <t>Top Chemicals</t>
        </is>
      </c>
    </row>
    <row r="17">
      <c r="N17" t="inlineStr"/>
      <c r="O17" s="22" t="inlineStr">
        <is>
          <t>— METALLURGICAL CHEMICALS (6 picks) —</t>
        </is>
      </c>
    </row>
    <row r="18">
      <c r="N18" s="23" t="n">
        <v>1</v>
      </c>
      <c r="O18" s="23" t="inlineStr">
        <is>
          <t>293190</t>
        </is>
      </c>
      <c r="P18" s="23" t="inlineStr">
        <is>
          <t>2931</t>
        </is>
      </c>
      <c r="Q18" s="23" t="n">
        <v>22</v>
      </c>
      <c r="R18" s="23" t="inlineStr">
        <is>
          <t>MC</t>
        </is>
      </c>
      <c r="S18" s="23" t="inlineStr">
        <is>
          <t>Organo-inorganic compounds n.e.s. (Grignard reagents, metal carbonyls, organometallics)</t>
        </is>
      </c>
      <c r="T18" s="23" t="inlineStr">
        <is>
          <t>Methyl Magnesium Bromide; 2-Methylallylmagnesium chloride; p-Tolyl Magnesium Bromide; Phenylmagnesium bromide; 1-Propenyl Magnesium Bromide 0.5M in THF (+17 more)</t>
        </is>
      </c>
    </row>
    <row r="19">
      <c r="N19" s="23" t="n">
        <v>2</v>
      </c>
      <c r="O19" s="23" t="inlineStr">
        <is>
          <t>284610</t>
        </is>
      </c>
      <c r="P19" s="23" t="inlineStr">
        <is>
          <t>2846</t>
        </is>
      </c>
      <c r="Q19" s="23" t="n">
        <v>16</v>
      </c>
      <c r="R19" s="23" t="inlineStr">
        <is>
          <t>MC</t>
        </is>
      </c>
      <c r="S19" s="23" t="inlineStr">
        <is>
          <t>Compounds of cerium (rare earth compounds)</t>
        </is>
      </c>
      <c r="T19" s="23" t="inlineStr">
        <is>
          <t>Cerium chloride heptahydrate; Cerium chloride; Cerium Oxide; Cerium Sulfate; Cerium Ammonium Nitrate (+11 more)</t>
        </is>
      </c>
    </row>
    <row r="20">
      <c r="N20" s="23" t="n">
        <v>3</v>
      </c>
      <c r="O20" s="23" t="inlineStr">
        <is>
          <t>284390</t>
        </is>
      </c>
      <c r="P20" s="23" t="inlineStr">
        <is>
          <t>2843</t>
        </is>
      </c>
      <c r="Q20" s="23" t="n">
        <v>16</v>
      </c>
      <c r="R20" s="23" t="inlineStr">
        <is>
          <t>MC</t>
        </is>
      </c>
      <c r="S20" s="23" t="inlineStr">
        <is>
          <t>Other compounds of precious metals (Pd, Pt, Rh, Ir, Ru catalysts)</t>
        </is>
      </c>
      <c r="T20" s="23" t="inlineStr">
        <is>
          <t>Palladium hydroxide; Dichlorobis(di-tert-butylphenylphosphine)palladium(II); Tetraamminepalladium(II) dichloride; Bis(tricyclohexylphosphine)Palladium(0); Bis(triphenylphosphinepalladium) acetate (+11 more)</t>
        </is>
      </c>
    </row>
    <row r="21">
      <c r="N21" s="23" t="n">
        <v>4</v>
      </c>
      <c r="O21" s="23" t="inlineStr">
        <is>
          <t>282739</t>
        </is>
      </c>
      <c r="P21" s="23" t="inlineStr">
        <is>
          <t>2827</t>
        </is>
      </c>
      <c r="Q21" s="23" t="n">
        <v>16</v>
      </c>
      <c r="R21" s="23" t="inlineStr">
        <is>
          <t>MC</t>
        </is>
      </c>
      <c r="S21" s="23" t="inlineStr">
        <is>
          <t>Other chlorides n.e.s. (Cd, Cu, Cr, Mn, Co, Zn, Pb chlorides)</t>
        </is>
      </c>
      <c r="T21" s="23" t="inlineStr">
        <is>
          <t>Cadmium Chloride; Cadmium Chloride Anhydrous; Copper Chloride; Chromium (III) Chloride hexahydrate; Cobalt (II) Chloride Hexahydrate (+11 more)</t>
        </is>
      </c>
    </row>
    <row r="22">
      <c r="N22" s="23" t="n">
        <v>5</v>
      </c>
      <c r="O22" s="23" t="inlineStr">
        <is>
          <t>283429</t>
        </is>
      </c>
      <c r="P22" s="23" t="inlineStr">
        <is>
          <t>2834</t>
        </is>
      </c>
      <c r="Q22" s="23" t="n">
        <v>15</v>
      </c>
      <c r="R22" s="23" t="inlineStr">
        <is>
          <t>MC</t>
        </is>
      </c>
      <c r="S22" s="23" t="inlineStr">
        <is>
          <t>Other nitrates n.e.s. (Ni, Cd, Cu, Mn, Co, Pb nitrates)</t>
        </is>
      </c>
      <c r="T22" s="23" t="inlineStr">
        <is>
          <t>Nickel nitrate; Cadmium Nitrate; Copper Nitrate; Manganese (II) Nitrate 50 % W/W; Lead (II) Nitrate (+10 more)</t>
        </is>
      </c>
    </row>
    <row r="23">
      <c r="N23" s="23" t="n">
        <v>6</v>
      </c>
      <c r="O23" s="23" t="inlineStr">
        <is>
          <t>283329</t>
        </is>
      </c>
      <c r="P23" s="23" t="inlineStr">
        <is>
          <t>2833</t>
        </is>
      </c>
      <c r="Q23" s="23" t="n">
        <v>12</v>
      </c>
      <c r="R23" s="23" t="inlineStr">
        <is>
          <t>MC</t>
        </is>
      </c>
      <c r="S23" s="23" t="inlineStr">
        <is>
          <t>Other sulphates n.e.s. (Cr, Co, Cd, Pb, Zn sulphates)</t>
        </is>
      </c>
      <c r="T23" s="23" t="inlineStr">
        <is>
          <t>Chromium Sulphate; Cobalt Sulphate; Cadmium Sulphate; Lead (II) Sulfate; Ammonium Cobalt Sulfate (+7 more)</t>
        </is>
      </c>
    </row>
    <row r="24">
      <c r="N24" t="inlineStr"/>
      <c r="O24" s="24" t="inlineStr">
        <is>
          <t>— BPC + CATALOG (4 picks) —</t>
        </is>
      </c>
    </row>
    <row r="25">
      <c r="N25" s="23" t="n">
        <v>7</v>
      </c>
      <c r="O25" s="23" t="inlineStr">
        <is>
          <t>330499</t>
        </is>
      </c>
      <c r="P25" s="23" t="inlineStr">
        <is>
          <t>3304</t>
        </is>
      </c>
      <c r="Q25" s="23" t="n">
        <v>103</v>
      </c>
      <c r="R25" s="23" t="inlineStr">
        <is>
          <t>BPC+Cat</t>
        </is>
      </c>
      <c r="S25" s="23" t="inlineStr">
        <is>
          <t>Other beauty/make-up preparations &amp; skin care n.e.s.</t>
        </is>
      </c>
      <c r="T25" s="23" t="inlineStr">
        <is>
          <t>2-Ethylresorcinol; Guar gum, 2-hydroxy-3-(trimethylammonio)propyl ether, chloride; Ecamsule (Mexoryl SX); 2,4-Diaminophenoxyethanol Dihydrochloride; bisabolol (+98 more)</t>
        </is>
      </c>
    </row>
    <row r="26">
      <c r="N26" s="23" t="n">
        <v>8</v>
      </c>
      <c r="O26" s="23" t="inlineStr">
        <is>
          <t>340290</t>
        </is>
      </c>
      <c r="P26" s="23" t="inlineStr">
        <is>
          <t>3402</t>
        </is>
      </c>
      <c r="Q26" s="23" t="n">
        <v>10</v>
      </c>
      <c r="R26" s="23" t="inlineStr">
        <is>
          <t>BPC+Cat</t>
        </is>
      </c>
      <c r="S26" s="23" t="inlineStr">
        <is>
          <t>Other organic surface-active agents n.e.s.</t>
        </is>
      </c>
      <c r="T26" s="23" t="inlineStr">
        <is>
          <t>Polyethylene Glycol Distearate; Coco Amido Propyl Amine Oxide (CAPAO); 2,4-Diamino-6-Chloropyrimidine3-Oxide; Sodium Lauryl Sulfate (SLS); Dodecyldimethylamine oxide (Lauramine oxide) (+5 more)</t>
        </is>
      </c>
    </row>
    <row r="27">
      <c r="N27" s="23" t="n">
        <v>9</v>
      </c>
      <c r="O27" s="23" t="inlineStr">
        <is>
          <t>330129</t>
        </is>
      </c>
      <c r="P27" s="23" t="inlineStr">
        <is>
          <t>3301</t>
        </is>
      </c>
      <c r="Q27" s="23" t="n">
        <v>4</v>
      </c>
      <c r="R27" s="23" t="inlineStr">
        <is>
          <t>BPC+Cat</t>
        </is>
      </c>
      <c r="S27" s="23" t="inlineStr">
        <is>
          <t>Essential oils other than of citrus fruit (spearmint, eucalyptus, lavender)</t>
        </is>
      </c>
      <c r="T27" s="23" t="inlineStr">
        <is>
          <t>Spearmint Oil; Eucalyptus Oil 60%; Green Tea Oil soluble; lavender</t>
        </is>
      </c>
    </row>
    <row r="28">
      <c r="N28" s="23" t="n">
        <v>10</v>
      </c>
      <c r="O28" s="23" t="inlineStr">
        <is>
          <t>340211</t>
        </is>
      </c>
      <c r="P28" s="23" t="inlineStr">
        <is>
          <t>3402</t>
        </is>
      </c>
      <c r="Q28" s="23" t="n">
        <v>3</v>
      </c>
      <c r="R28" s="23" t="inlineStr">
        <is>
          <t>BPC+Cat</t>
        </is>
      </c>
      <c r="S28" s="23" t="inlineStr">
        <is>
          <t>Anionic organic surface-active agents (SLS, SLES, AOS)</t>
        </is>
      </c>
      <c r="T28" s="23" t="inlineStr">
        <is>
          <t>Sodium Lauryl Sulfate (SLS) [Cat]; Sodium Laureth Sulfate (SLES) [Cat]; Alpha Olefin Sulfonate (AOS) [Cat]</t>
        </is>
      </c>
    </row>
  </sheetData>
  <mergeCells count="1">
    <mergeCell ref="N15:T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6" customWidth="1" style="19" min="1" max="1"/>
    <col width="45" customWidth="1" style="19" min="2" max="2"/>
    <col width="18" customWidth="1" style="19" min="3" max="3"/>
    <col width="30" customWidth="1" style="19" min="4" max="4"/>
    <col width="12" customWidth="1" style="19" min="5" max="5"/>
    <col width="55" customWidth="1" style="19" min="6" max="6"/>
    <col width="10" customWidth="1" style="19" min="7" max="7"/>
    <col width="12" customWidth="1" style="19" min="8" max="8"/>
    <col width="30" customWidth="1" style="19" min="9" max="9"/>
    <col width="65" customWidth="1" style="19" min="10" max="10"/>
    <col hidden="1" width="45" customWidth="1" style="19" min="11" max="11"/>
    <col width="12" customWidth="1" style="19" min="12" max="13"/>
    <col width="16" customWidth="1" style="19" min="14" max="26"/>
  </cols>
  <sheetData>
    <row r="1">
      <c r="A1" s="17" t="inlineStr">
        <is>
          <t>REVERSE ANALYSIS — Top Beauty Product Ingredients × Trading Opportunity</t>
        </is>
      </c>
    </row>
    <row r="2">
      <c r="A2" s="18" t="inlineStr">
        <is>
          <t>Rank</t>
        </is>
      </c>
      <c r="B2" s="18" t="inlineStr">
        <is>
          <t>Chemical / INCI Name</t>
        </is>
      </c>
      <c r="C2" s="18" t="inlineStr">
        <is>
          <t>CAS Number</t>
        </is>
      </c>
      <c r="D2" s="18" t="inlineStr">
        <is>
          <t>Chemistry Type</t>
        </is>
      </c>
      <c r="E2" s="18" t="inlineStr">
        <is>
          <t>Frequency (out of ~500)</t>
        </is>
      </c>
      <c r="F2" s="18" t="inlineStr">
        <is>
          <t>Product Categories Found In</t>
        </is>
      </c>
      <c r="G2" s="18" t="inlineStr">
        <is>
          <t>Est. Weight %</t>
        </is>
      </c>
      <c r="H2" s="18" t="inlineStr">
        <is>
          <t>Classification</t>
        </is>
      </c>
      <c r="I2" s="18" t="inlineStr">
        <is>
          <t>Sub-Classification</t>
        </is>
      </c>
      <c r="J2" s="18" t="inlineStr">
        <is>
          <t>Recent Market Data (2024-2026)</t>
        </is>
      </c>
      <c r="K2" s="18" t="inlineStr">
        <is>
          <t>Trading Opportunity Assessment</t>
        </is>
      </c>
      <c r="L2" s="18" t="inlineStr">
        <is>
          <t>In Scimplify Catalog?</t>
        </is>
      </c>
      <c r="M2" s="18" t="inlineStr">
        <is>
          <t>In Scimplify BPC Category?</t>
        </is>
      </c>
      <c r="N2" s="25" t="inlineStr">
        <is>
          <t>Related HSN Codes</t>
        </is>
      </c>
    </row>
    <row r="3">
      <c r="A3" s="3" t="n">
        <v>1</v>
      </c>
      <c r="B3" s="3" t="inlineStr">
        <is>
          <t>Water (Aqua)</t>
        </is>
      </c>
      <c r="C3" s="3" t="inlineStr">
        <is>
          <t>7732-18-5</t>
        </is>
      </c>
      <c r="D3" s="3" t="inlineStr">
        <is>
          <t>Solvent</t>
        </is>
      </c>
      <c r="E3" s="3" t="n">
        <v>490</v>
      </c>
      <c r="F3" s="3" t="inlineStr">
        <is>
          <t>All 10 categories</t>
        </is>
      </c>
      <c r="G3" s="3" t="inlineStr">
        <is>
          <t>50-80%</t>
        </is>
      </c>
      <c r="H3" s="3" t="inlineStr">
        <is>
          <t>Bulk</t>
        </is>
      </c>
      <c r="I3" s="3" t="inlineStr">
        <is>
          <t>Universal Solvent</t>
        </is>
      </c>
      <c r="J3" s="3" t="inlineStr">
        <is>
          <t>N/A - commodity</t>
        </is>
      </c>
      <c r="K3" s="3" t="inlineStr">
        <is>
          <t>Not tradeable as specialty</t>
        </is>
      </c>
      <c r="L3" s="3" t="inlineStr">
        <is>
          <t>No</t>
        </is>
      </c>
      <c r="M3" s="3" t="inlineStr">
        <is>
          <t>No</t>
        </is>
      </c>
      <c r="N3" s="23" t="inlineStr">
        <is>
          <t>2201</t>
        </is>
      </c>
    </row>
    <row r="4">
      <c r="A4" s="3" t="n">
        <v>2</v>
      </c>
      <c r="B4" s="3" t="inlineStr">
        <is>
          <t>Glycerin</t>
        </is>
      </c>
      <c r="C4" s="3" t="inlineStr">
        <is>
          <t>56-81-5</t>
        </is>
      </c>
      <c r="D4" s="3" t="inlineStr">
        <is>
          <t>Humectant</t>
        </is>
      </c>
      <c r="E4" s="3" t="n">
        <v>420</v>
      </c>
      <c r="F4" s="3" t="inlineStr">
        <is>
          <t>Moisturizer, Serum, Body Lotion, Face Wash, Toner, Sunscreen</t>
        </is>
      </c>
      <c r="G4" s="3" t="inlineStr">
        <is>
          <t>2-10%</t>
        </is>
      </c>
      <c r="H4" s="3" t="inlineStr">
        <is>
          <t>Bulk</t>
        </is>
      </c>
      <c r="I4" s="3" t="inlineStr">
        <is>
          <t>Polyol Humectant</t>
        </is>
      </c>
      <c r="J4" s="3" t="inlineStr">
        <is>
          <t>India production ~500K MT/yr; price INR 65-80/kg (2025); oleochemical derived</t>
        </is>
      </c>
      <c r="K4" s="3" t="inlineStr">
        <is>
          <t>Low margin commodity - high volume</t>
        </is>
      </c>
      <c r="L4" s="3" t="inlineStr">
        <is>
          <t>No</t>
        </is>
      </c>
      <c r="M4" s="3" t="inlineStr">
        <is>
          <t>No</t>
        </is>
      </c>
      <c r="N4" s="23" t="inlineStr">
        <is>
          <t>290545</t>
        </is>
      </c>
    </row>
    <row r="5">
      <c r="A5" s="3" t="n">
        <v>3</v>
      </c>
      <c r="B5" s="3" t="inlineStr">
        <is>
          <t>Phenoxyethanol</t>
        </is>
      </c>
      <c r="C5" s="3" t="inlineStr">
        <is>
          <t>122-99-6</t>
        </is>
      </c>
      <c r="D5" s="3" t="inlineStr">
        <is>
          <t>Preservative</t>
        </is>
      </c>
      <c r="E5" s="3" t="n">
        <v>350</v>
      </c>
      <c r="F5" s="3" t="inlineStr">
        <is>
          <t>All 10 categories</t>
        </is>
      </c>
      <c r="G5" s="3" t="inlineStr">
        <is>
          <t>0.5-1%</t>
        </is>
      </c>
      <c r="H5" s="3" t="inlineStr">
        <is>
          <t>Bulk</t>
        </is>
      </c>
      <c r="I5" s="3" t="inlineStr">
        <is>
          <t>Glycol Ether Preservative</t>
        </is>
      </c>
      <c r="J5" s="3" t="inlineStr">
        <is>
          <t>Prices declined Aug 2025 due to weak demand seasonally; ~INR 350-450/kg</t>
        </is>
      </c>
      <c r="K5" s="3" t="inlineStr">
        <is>
          <t>Moderate - standard preservative, stable demand</t>
        </is>
      </c>
      <c r="L5" s="3" t="inlineStr">
        <is>
          <t>Yes</t>
        </is>
      </c>
      <c r="M5" s="3" t="inlineStr">
        <is>
          <t>Yes</t>
        </is>
      </c>
      <c r="N5" s="23" t="inlineStr">
        <is>
          <t>290949</t>
        </is>
      </c>
    </row>
    <row r="6">
      <c r="A6" s="3" t="n">
        <v>4</v>
      </c>
      <c r="B6" s="3" t="inlineStr">
        <is>
          <t>Tocopherol / Tocopheryl Acetate (Vitamin E)</t>
        </is>
      </c>
      <c r="C6" s="3" t="inlineStr">
        <is>
          <t>59-02-9</t>
        </is>
      </c>
      <c r="D6" s="3" t="inlineStr">
        <is>
          <t>Antioxidant</t>
        </is>
      </c>
      <c r="E6" s="3" t="n">
        <v>330</v>
      </c>
      <c r="F6" s="3" t="inlineStr">
        <is>
          <t>Moisturizer, Serum, Sunscreen, Lipstick, Hair Oil, Body Lotion</t>
        </is>
      </c>
      <c r="G6" s="3" t="inlineStr">
        <is>
          <t>0.1-2%</t>
        </is>
      </c>
      <c r="H6" s="3" t="inlineStr">
        <is>
          <t>Active</t>
        </is>
      </c>
      <c r="I6" s="3" t="inlineStr">
        <is>
          <t>Fat-soluble Vitamin</t>
        </is>
      </c>
      <c r="J6" s="3" t="inlineStr">
        <is>
          <t>INR 800-1200/kg for dl-alpha tocopheryl acetate; China dominant producer</t>
        </is>
      </c>
      <c r="K6" s="3" t="inlineStr">
        <is>
          <t>Moderate - commodity active, price-sensitive</t>
        </is>
      </c>
      <c r="L6" s="3" t="inlineStr">
        <is>
          <t>No</t>
        </is>
      </c>
      <c r="M6" s="3" t="inlineStr">
        <is>
          <t>No</t>
        </is>
      </c>
      <c r="N6" s="23" t="inlineStr">
        <is>
          <t>293628</t>
        </is>
      </c>
    </row>
    <row r="7">
      <c r="A7" s="3" t="n">
        <v>5</v>
      </c>
      <c r="B7" s="3" t="inlineStr">
        <is>
          <t>Niacinamide (Vitamin B3)</t>
        </is>
      </c>
      <c r="C7" s="3" t="inlineStr">
        <is>
          <t>98-92-0</t>
        </is>
      </c>
      <c r="D7" s="3" t="inlineStr">
        <is>
          <t>Skin Active</t>
        </is>
      </c>
      <c r="E7" s="3" t="n">
        <v>310</v>
      </c>
      <c r="F7" s="3" t="inlineStr">
        <is>
          <t>Serum, Moisturizer, Sunscreen, Toner, Face Wash</t>
        </is>
      </c>
      <c r="G7" s="3" t="inlineStr">
        <is>
          <t>2-10%</t>
        </is>
      </c>
      <c r="H7" s="3" t="inlineStr">
        <is>
          <t>Active</t>
        </is>
      </c>
      <c r="I7" s="3" t="inlineStr">
        <is>
          <t>Vitamin Derivative</t>
        </is>
      </c>
      <c r="J7" s="3" t="inlineStr">
        <is>
          <t>INR 625-655/kg (2025); India demand 15,000 MT/yr growing 6.9% CAGR; Jubilant Ingrevia major producer</t>
        </is>
      </c>
      <c r="K7" s="3" t="inlineStr">
        <is>
          <t>High opportunity - growing demand, D2C brand explosion</t>
        </is>
      </c>
      <c r="L7" s="3" t="inlineStr">
        <is>
          <t>Yes</t>
        </is>
      </c>
      <c r="M7" s="3" t="inlineStr">
        <is>
          <t>No</t>
        </is>
      </c>
      <c r="N7" s="23" t="inlineStr">
        <is>
          <t>293620</t>
        </is>
      </c>
    </row>
    <row r="8">
      <c r="A8" s="3" t="n">
        <v>6</v>
      </c>
      <c r="B8" s="3" t="inlineStr">
        <is>
          <t>Dimethicone</t>
        </is>
      </c>
      <c r="C8" s="3" t="inlineStr">
        <is>
          <t>9006-65-9</t>
        </is>
      </c>
      <c r="D8" s="3" t="inlineStr">
        <is>
          <t>Silicone Emollient</t>
        </is>
      </c>
      <c r="E8" s="3" t="n">
        <v>280</v>
      </c>
      <c r="F8" s="3" t="inlineStr">
        <is>
          <t>Moisturizer, Sunscreen, Foundation, Hair Oil, Shampoo, Body Lotion</t>
        </is>
      </c>
      <c r="G8" s="3" t="inlineStr">
        <is>
          <t>1-5%</t>
        </is>
      </c>
      <c r="H8" s="3" t="inlineStr">
        <is>
          <t>Bulk</t>
        </is>
      </c>
      <c r="I8" s="3" t="inlineStr">
        <is>
          <t>Silicone Polymer</t>
        </is>
      </c>
      <c r="J8" s="3" t="inlineStr">
        <is>
          <t>Dow/Wacker dominant suppliers; INR 200-400/kg depending on viscosity</t>
        </is>
      </c>
      <c r="K8" s="3" t="inlineStr">
        <is>
          <t>Low margin - dominated by multinationals</t>
        </is>
      </c>
      <c r="L8" s="3" t="inlineStr">
        <is>
          <t>No</t>
        </is>
      </c>
      <c r="M8" s="3" t="inlineStr">
        <is>
          <t>No</t>
        </is>
      </c>
      <c r="N8" s="23" t="inlineStr">
        <is>
          <t>391000</t>
        </is>
      </c>
    </row>
    <row r="9">
      <c r="A9" s="3" t="n">
        <v>7</v>
      </c>
      <c r="B9" s="3" t="inlineStr">
        <is>
          <t>Hyaluronic Acid / Sodium Hyaluronate</t>
        </is>
      </c>
      <c r="C9" s="3" t="inlineStr">
        <is>
          <t>9004-61-9</t>
        </is>
      </c>
      <c r="D9" s="3" t="inlineStr">
        <is>
          <t>Humectant / Active</t>
        </is>
      </c>
      <c r="E9" s="3" t="n">
        <v>280</v>
      </c>
      <c r="F9" s="3" t="inlineStr">
        <is>
          <t>Serum, Moisturizer, Toner, Sunscreen, Body Lotion</t>
        </is>
      </c>
      <c r="G9" s="3" t="inlineStr">
        <is>
          <t>0.01-2%</t>
        </is>
      </c>
      <c r="H9" s="3" t="inlineStr">
        <is>
          <t>Active</t>
        </is>
      </c>
      <c r="I9" s="3" t="inlineStr">
        <is>
          <t>Glycosaminoglycan</t>
        </is>
      </c>
      <c r="J9" s="3" t="inlineStr">
        <is>
          <t>INR 15,000-80,000/kg depending on MW; fermentation-derived; China dominates production</t>
        </is>
      </c>
      <c r="K9" s="3" t="inlineStr">
        <is>
          <t>High opportunity - premium active, growing demand in India</t>
        </is>
      </c>
      <c r="L9" s="3" t="inlineStr">
        <is>
          <t>No</t>
        </is>
      </c>
      <c r="M9" s="3" t="inlineStr">
        <is>
          <t>No</t>
        </is>
      </c>
      <c r="N9" s="23" t="inlineStr">
        <is>
          <t>391390</t>
        </is>
      </c>
    </row>
    <row r="10">
      <c r="A10" s="3" t="n">
        <v>8</v>
      </c>
      <c r="B10" s="3" t="inlineStr">
        <is>
          <t>Butylene Glycol</t>
        </is>
      </c>
      <c r="C10" s="3" t="inlineStr">
        <is>
          <t>107-88-0</t>
        </is>
      </c>
      <c r="D10" s="3" t="inlineStr">
        <is>
          <t>Humectant / Solvent</t>
        </is>
      </c>
      <c r="E10" s="3" t="n">
        <v>260</v>
      </c>
      <c r="F10" s="3" t="inlineStr">
        <is>
          <t>Serum, Toner, Moisturizer, Sunscreen</t>
        </is>
      </c>
      <c r="G10" s="3" t="inlineStr">
        <is>
          <t>1-5%</t>
        </is>
      </c>
      <c r="H10" s="3" t="inlineStr">
        <is>
          <t>Bulk</t>
        </is>
      </c>
      <c r="I10" s="3" t="inlineStr">
        <is>
          <t>Diol Solvent</t>
        </is>
      </c>
      <c r="J10" s="3" t="inlineStr">
        <is>
          <t>INR 150-250/kg; bio-based 1,3-BG gaining traction</t>
        </is>
      </c>
      <c r="K10" s="3" t="inlineStr">
        <is>
          <t>Low-moderate - commodity humectant</t>
        </is>
      </c>
      <c r="L10" s="3" t="inlineStr">
        <is>
          <t>No</t>
        </is>
      </c>
      <c r="M10" s="3" t="inlineStr">
        <is>
          <t>No</t>
        </is>
      </c>
      <c r="N10" s="23" t="inlineStr">
        <is>
          <t>290549</t>
        </is>
      </c>
    </row>
    <row r="11">
      <c r="A11" s="3" t="n">
        <v>9</v>
      </c>
      <c r="B11" s="3" t="inlineStr">
        <is>
          <t>EDTA (Disodium/Tetrasodium)</t>
        </is>
      </c>
      <c r="C11" s="3" t="inlineStr">
        <is>
          <t>139-33-3</t>
        </is>
      </c>
      <c r="D11" s="3" t="inlineStr">
        <is>
          <t>Chelating Agent</t>
        </is>
      </c>
      <c r="E11" s="3" t="n">
        <v>250</v>
      </c>
      <c r="F11" s="3" t="inlineStr">
        <is>
          <t>Shampoo, Face Wash, Moisturizer, Body Lotion</t>
        </is>
      </c>
      <c r="G11" s="3" t="inlineStr">
        <is>
          <t>0.01-0.2%</t>
        </is>
      </c>
      <c r="H11" s="3" t="inlineStr">
        <is>
          <t>Bulk</t>
        </is>
      </c>
      <c r="I11" s="3" t="inlineStr">
        <is>
          <t>Aminocarboxylate Chelator</t>
        </is>
      </c>
      <c r="J11" s="3" t="inlineStr">
        <is>
          <t>INR 90-130/kg; commodity chelator</t>
        </is>
      </c>
      <c r="K11" s="3" t="inlineStr">
        <is>
          <t>In catalog (Personal &amp; HomeCare) - commodity</t>
        </is>
      </c>
      <c r="L11" s="3" t="inlineStr">
        <is>
          <t>Yes</t>
        </is>
      </c>
      <c r="M11" s="3" t="inlineStr">
        <is>
          <t>No</t>
        </is>
      </c>
      <c r="N11" s="23" t="inlineStr">
        <is>
          <t>292249</t>
        </is>
      </c>
    </row>
    <row r="12">
      <c r="A12" s="3" t="n">
        <v>10</v>
      </c>
      <c r="B12" s="3" t="inlineStr">
        <is>
          <t>Panthenol (Provitamin B5)</t>
        </is>
      </c>
      <c r="C12" s="3" t="inlineStr">
        <is>
          <t>81-13-0</t>
        </is>
      </c>
      <c r="D12" s="3" t="inlineStr">
        <is>
          <t>Skin/Hair Conditioner</t>
        </is>
      </c>
      <c r="E12" s="3" t="n">
        <v>240</v>
      </c>
      <c r="F12" s="3" t="inlineStr">
        <is>
          <t>Moisturizer, Shampoo, Serum, Body Lotion, Sunscreen</t>
        </is>
      </c>
      <c r="G12" s="3" t="inlineStr">
        <is>
          <t>0.5-5%</t>
        </is>
      </c>
      <c r="H12" s="3" t="inlineStr">
        <is>
          <t>Active</t>
        </is>
      </c>
      <c r="I12" s="3" t="inlineStr">
        <is>
          <t>Vitamin B5 Derivative</t>
        </is>
      </c>
      <c r="J12" s="3" t="inlineStr">
        <is>
          <t>INR 1500-2500/kg; DSM/BASF major producers</t>
        </is>
      </c>
      <c r="K12" s="3" t="inlineStr">
        <is>
          <t>Moderate - well-established active</t>
        </is>
      </c>
      <c r="L12" s="3" t="inlineStr">
        <is>
          <t>No</t>
        </is>
      </c>
      <c r="M12" s="3" t="inlineStr">
        <is>
          <t>No</t>
        </is>
      </c>
      <c r="N12" s="23" t="inlineStr">
        <is>
          <t>293340</t>
        </is>
      </c>
    </row>
    <row r="13">
      <c r="A13" s="3" t="n">
        <v>11</v>
      </c>
      <c r="B13" s="3" t="inlineStr">
        <is>
          <t>Cetearyl Alcohol</t>
        </is>
      </c>
      <c r="C13" s="3" t="inlineStr">
        <is>
          <t>67762-27-0</t>
        </is>
      </c>
      <c r="D13" s="3" t="inlineStr">
        <is>
          <t>Fatty Alcohol / Emulsifier</t>
        </is>
      </c>
      <c r="E13" s="3" t="n">
        <v>220</v>
      </c>
      <c r="F13" s="3" t="inlineStr">
        <is>
          <t>Moisturizer, Body Lotion, Shampoo, Foundation</t>
        </is>
      </c>
      <c r="G13" s="3" t="inlineStr">
        <is>
          <t>2-6%</t>
        </is>
      </c>
      <c r="H13" s="3" t="inlineStr">
        <is>
          <t>Bulk</t>
        </is>
      </c>
      <c r="I13" s="3" t="inlineStr">
        <is>
          <t>Fatty Alcohol Co-emulsifier</t>
        </is>
      </c>
      <c r="J13" s="3" t="inlineStr">
        <is>
          <t>INR 120-180/kg; oleochemical derived; VVF, Godrej major suppliers</t>
        </is>
      </c>
      <c r="K13" s="3" t="inlineStr">
        <is>
          <t>Low margin bulk - well-supplied in India</t>
        </is>
      </c>
      <c r="L13" s="3" t="inlineStr">
        <is>
          <t>No</t>
        </is>
      </c>
      <c r="M13" s="3" t="inlineStr">
        <is>
          <t>No</t>
        </is>
      </c>
      <c r="N13" s="23" t="inlineStr">
        <is>
          <t>290545</t>
        </is>
      </c>
    </row>
    <row r="14">
      <c r="A14" s="3" t="n">
        <v>12</v>
      </c>
      <c r="B14" s="3" t="inlineStr">
        <is>
          <t>Sodium Hyaluronate</t>
        </is>
      </c>
      <c r="C14" s="3" t="inlineStr">
        <is>
          <t>9067-32-7</t>
        </is>
      </c>
      <c r="D14" s="3" t="inlineStr">
        <is>
          <t>Humectant / Active</t>
        </is>
      </c>
      <c r="E14" s="3" t="n">
        <v>220</v>
      </c>
      <c r="F14" s="3" t="inlineStr">
        <is>
          <t>Serum, Moisturizer, Toner, Sunscreen</t>
        </is>
      </c>
      <c r="G14" s="3" t="inlineStr">
        <is>
          <t>0.01-1%</t>
        </is>
      </c>
      <c r="H14" s="3" t="inlineStr">
        <is>
          <t>Active</t>
        </is>
      </c>
      <c r="I14" s="3" t="inlineStr">
        <is>
          <t>Hyaluronic Acid Salt</t>
        </is>
      </c>
      <c r="J14" s="3" t="inlineStr">
        <is>
          <t>Part of HA market (see above); INR 20,000-60,000/kg cosmetic grade</t>
        </is>
      </c>
      <c r="K14" s="3" t="inlineStr">
        <is>
          <t>High opportunity - exploding D2C demand</t>
        </is>
      </c>
      <c r="L14" s="3" t="inlineStr">
        <is>
          <t>No</t>
        </is>
      </c>
      <c r="M14" s="3" t="inlineStr">
        <is>
          <t>No</t>
        </is>
      </c>
      <c r="N14" s="23" t="inlineStr">
        <is>
          <t>391390</t>
        </is>
      </c>
    </row>
    <row r="15">
      <c r="A15" s="3" t="n">
        <v>13</v>
      </c>
      <c r="B15" s="3" t="inlineStr">
        <is>
          <t>Cetyl Alcohol</t>
        </is>
      </c>
      <c r="C15" s="3" t="inlineStr">
        <is>
          <t>36653-82-4</t>
        </is>
      </c>
      <c r="D15" s="3" t="inlineStr">
        <is>
          <t>Fatty Alcohol / Thickener</t>
        </is>
      </c>
      <c r="E15" s="3" t="n">
        <v>200</v>
      </c>
      <c r="F15" s="3" t="inlineStr">
        <is>
          <t>Moisturizer, Body Lotion, Shampoo, Foundation</t>
        </is>
      </c>
      <c r="G15" s="3" t="inlineStr">
        <is>
          <t>1-5%</t>
        </is>
      </c>
      <c r="H15" s="3" t="inlineStr">
        <is>
          <t>Bulk</t>
        </is>
      </c>
      <c r="I15" s="3" t="inlineStr">
        <is>
          <t>Fatty Alcohol</t>
        </is>
      </c>
      <c r="J15" s="3" t="inlineStr">
        <is>
          <t>INR 130-170/kg; oleochemical commodity</t>
        </is>
      </c>
      <c r="K15" s="3" t="inlineStr">
        <is>
          <t>Low margin commodity</t>
        </is>
      </c>
      <c r="L15" s="3" t="inlineStr">
        <is>
          <t>No</t>
        </is>
      </c>
      <c r="M15" s="3" t="inlineStr">
        <is>
          <t>No</t>
        </is>
      </c>
      <c r="N15" s="23" t="inlineStr">
        <is>
          <t>290545</t>
        </is>
      </c>
    </row>
    <row r="16">
      <c r="A16" s="3" t="n">
        <v>14</v>
      </c>
      <c r="B16" s="3" t="inlineStr">
        <is>
          <t>Propylene Glycol</t>
        </is>
      </c>
      <c r="C16" s="3" t="inlineStr">
        <is>
          <t>57-55-6</t>
        </is>
      </c>
      <c r="D16" s="3" t="inlineStr">
        <is>
          <t>Humectant / Solvent</t>
        </is>
      </c>
      <c r="E16" s="3" t="n">
        <v>200</v>
      </c>
      <c r="F16" s="3" t="inlineStr">
        <is>
          <t>Serum, Moisturizer, Shampoo, Face Wash</t>
        </is>
      </c>
      <c r="G16" s="3" t="inlineStr">
        <is>
          <t>1-5%</t>
        </is>
      </c>
      <c r="H16" s="3" t="inlineStr">
        <is>
          <t>Bulk</t>
        </is>
      </c>
      <c r="I16" s="3" t="inlineStr">
        <is>
          <t>Glycol Humectant</t>
        </is>
      </c>
      <c r="J16" s="3" t="inlineStr">
        <is>
          <t>INR 85-120/kg; Dow/BASF/local producers</t>
        </is>
      </c>
      <c r="K16" s="3" t="inlineStr">
        <is>
          <t>Low margin commodity</t>
        </is>
      </c>
      <c r="L16" s="3" t="inlineStr">
        <is>
          <t>No</t>
        </is>
      </c>
      <c r="M16" s="3" t="inlineStr">
        <is>
          <t>No</t>
        </is>
      </c>
      <c r="N16" s="23" t="inlineStr">
        <is>
          <t>290532</t>
        </is>
      </c>
    </row>
    <row r="17">
      <c r="A17" s="3" t="n">
        <v>15</v>
      </c>
      <c r="B17" s="3" t="inlineStr">
        <is>
          <t>Ascorbic Acid (Vitamin C)</t>
        </is>
      </c>
      <c r="C17" s="3" t="inlineStr">
        <is>
          <t>50-81-7</t>
        </is>
      </c>
      <c r="D17" s="3" t="inlineStr">
        <is>
          <t>Antioxidant / Brightening</t>
        </is>
      </c>
      <c r="E17" s="3" t="n">
        <v>200</v>
      </c>
      <c r="F17" s="3" t="inlineStr">
        <is>
          <t>Serum, Moisturizer, Toner, Sunscreen</t>
        </is>
      </c>
      <c r="G17" s="3" t="inlineStr">
        <is>
          <t>1-20%</t>
        </is>
      </c>
      <c r="H17" s="3" t="inlineStr">
        <is>
          <t>Active</t>
        </is>
      </c>
      <c r="I17" s="3" t="inlineStr">
        <is>
          <t>Vitamin / Antioxidant</t>
        </is>
      </c>
      <c r="J17" s="3" t="inlineStr">
        <is>
          <t>INR 500-800/kg (L-ascorbic acid); China dominates; derivatives cost 3-10x more</t>
        </is>
      </c>
      <c r="K17" s="3" t="inlineStr">
        <is>
          <t>Moderate - derivatives more interesting than L-AA</t>
        </is>
      </c>
      <c r="L17" s="3" t="inlineStr">
        <is>
          <t>No</t>
        </is>
      </c>
      <c r="M17" s="3" t="inlineStr">
        <is>
          <t>No</t>
        </is>
      </c>
      <c r="N17" s="23" t="inlineStr">
        <is>
          <t>293621</t>
        </is>
      </c>
    </row>
    <row r="18">
      <c r="A18" s="3" t="n">
        <v>16</v>
      </c>
      <c r="B18" s="3" t="inlineStr">
        <is>
          <t>Carbomer</t>
        </is>
      </c>
      <c r="C18" s="3" t="inlineStr">
        <is>
          <t>9003-01-4</t>
        </is>
      </c>
      <c r="D18" s="3" t="inlineStr">
        <is>
          <t>Thickener / Gel Former</t>
        </is>
      </c>
      <c r="E18" s="3" t="n">
        <v>200</v>
      </c>
      <c r="F18" s="3" t="inlineStr">
        <is>
          <t>Serum, Moisturizer, Sunscreen, Face Wash</t>
        </is>
      </c>
      <c r="G18" s="3" t="inlineStr">
        <is>
          <t>0.1-1%</t>
        </is>
      </c>
      <c r="H18" s="3" t="inlineStr">
        <is>
          <t>Bulk</t>
        </is>
      </c>
      <c r="I18" s="3" t="inlineStr">
        <is>
          <t>Acrylic Acid Polymer</t>
        </is>
      </c>
      <c r="J18" s="3" t="inlineStr">
        <is>
          <t>INR 800-1500/kg; Lubrizol dominant; India sources from China</t>
        </is>
      </c>
      <c r="K18" s="3" t="inlineStr">
        <is>
          <t>Moderate - specialty rheology modifier</t>
        </is>
      </c>
      <c r="L18" s="3" t="inlineStr">
        <is>
          <t>No</t>
        </is>
      </c>
      <c r="M18" s="3" t="inlineStr">
        <is>
          <t>No</t>
        </is>
      </c>
      <c r="N18" s="23" t="inlineStr">
        <is>
          <t>390690</t>
        </is>
      </c>
    </row>
    <row r="19">
      <c r="A19" s="3" t="n">
        <v>17</v>
      </c>
      <c r="B19" s="3" t="inlineStr">
        <is>
          <t>Aloe Barbadensis Leaf Juice/Extract</t>
        </is>
      </c>
      <c r="C19" s="3" t="inlineStr">
        <is>
          <t>85507-69-3</t>
        </is>
      </c>
      <c r="D19" s="3" t="inlineStr">
        <is>
          <t>Soothing / Humectant</t>
        </is>
      </c>
      <c r="E19" s="3" t="n">
        <v>200</v>
      </c>
      <c r="F19" s="3" t="inlineStr">
        <is>
          <t>Moisturizer, Face Wash, Toner, Body Lotion, Sunscreen, Hair Oil</t>
        </is>
      </c>
      <c r="G19" s="3" t="inlineStr">
        <is>
          <t>0.5-20%</t>
        </is>
      </c>
      <c r="H19" s="3" t="inlineStr">
        <is>
          <t>Bulk</t>
        </is>
      </c>
      <c r="I19" s="3" t="inlineStr">
        <is>
          <t>Plant Extract</t>
        </is>
      </c>
      <c r="J19" s="3" t="inlineStr">
        <is>
          <t>INR 100-300/kg (200x concentrate); India is major aloe producer</t>
        </is>
      </c>
      <c r="K19" s="3" t="inlineStr">
        <is>
          <t>Low margin - abundantly available in India</t>
        </is>
      </c>
      <c r="L19" s="3" t="inlineStr">
        <is>
          <t>No</t>
        </is>
      </c>
      <c r="M19" s="3" t="inlineStr">
        <is>
          <t>No</t>
        </is>
      </c>
      <c r="N19" s="23" t="inlineStr">
        <is>
          <t>130219</t>
        </is>
      </c>
    </row>
    <row r="20" ht="15.75" customHeight="1" s="19">
      <c r="A20" s="3" t="n">
        <v>18</v>
      </c>
      <c r="B20" s="3" t="inlineStr">
        <is>
          <t>Stearic Acid</t>
        </is>
      </c>
      <c r="C20" s="3" t="inlineStr">
        <is>
          <t>57-11-4</t>
        </is>
      </c>
      <c r="D20" s="3" t="inlineStr">
        <is>
          <t>Fatty Acid</t>
        </is>
      </c>
      <c r="E20" s="3" t="n">
        <v>190</v>
      </c>
      <c r="F20" s="3" t="inlineStr">
        <is>
          <t>Moisturizer, Body Lotion, Foundation, Shampoo</t>
        </is>
      </c>
      <c r="G20" s="3" t="inlineStr">
        <is>
          <t>1-5%</t>
        </is>
      </c>
      <c r="H20" s="3" t="inlineStr">
        <is>
          <t>Bulk</t>
        </is>
      </c>
      <c r="I20" s="3" t="inlineStr">
        <is>
          <t>Saturated Fatty Acid</t>
        </is>
      </c>
      <c r="J20" s="3" t="inlineStr">
        <is>
          <t>INR 55-75/kg; India large producer (oleochemicals)</t>
        </is>
      </c>
      <c r="K20" s="3" t="inlineStr">
        <is>
          <t>Low margin commodity</t>
        </is>
      </c>
      <c r="L20" s="3" t="inlineStr">
        <is>
          <t>No</t>
        </is>
      </c>
      <c r="M20" s="3" t="inlineStr">
        <is>
          <t>No</t>
        </is>
      </c>
      <c r="N20" s="23" t="inlineStr">
        <is>
          <t>291570</t>
        </is>
      </c>
    </row>
    <row r="21" ht="15.75" customHeight="1" s="19">
      <c r="A21" s="3" t="n">
        <v>19</v>
      </c>
      <c r="B21" s="3" t="inlineStr">
        <is>
          <t>Glyceryl Stearate</t>
        </is>
      </c>
      <c r="C21" s="3" t="inlineStr">
        <is>
          <t>31566-31-1</t>
        </is>
      </c>
      <c r="D21" s="3" t="inlineStr">
        <is>
          <t>Emulsifier</t>
        </is>
      </c>
      <c r="E21" s="3" t="n">
        <v>190</v>
      </c>
      <c r="F21" s="3" t="inlineStr">
        <is>
          <t>Moisturizer, Body Lotion, Sunscreen, Foundation</t>
        </is>
      </c>
      <c r="G21" s="3" t="inlineStr">
        <is>
          <t>1-5%</t>
        </is>
      </c>
      <c r="H21" s="3" t="inlineStr">
        <is>
          <t>Bulk</t>
        </is>
      </c>
      <c r="I21" s="3" t="inlineStr">
        <is>
          <t>Glyceryl Ester Emulsifier</t>
        </is>
      </c>
      <c r="J21" s="3" t="inlineStr">
        <is>
          <t>INR 150-220/kg; oleochemical derived</t>
        </is>
      </c>
      <c r="K21" s="3" t="inlineStr">
        <is>
          <t>In catalog (Personal &amp; HomeCare) - low margin</t>
        </is>
      </c>
      <c r="L21" s="3" t="inlineStr">
        <is>
          <t>Yes</t>
        </is>
      </c>
      <c r="M21" s="3" t="inlineStr">
        <is>
          <t>No</t>
        </is>
      </c>
      <c r="N21" s="23" t="inlineStr">
        <is>
          <t>291590</t>
        </is>
      </c>
    </row>
    <row r="22" ht="15.75" customHeight="1" s="19">
      <c r="A22" s="3" t="n">
        <v>20</v>
      </c>
      <c r="B22" s="3" t="inlineStr">
        <is>
          <t>Caprylic/Capric Triglyceride</t>
        </is>
      </c>
      <c r="C22" s="3" t="inlineStr">
        <is>
          <t>65381-09-1</t>
        </is>
      </c>
      <c r="D22" s="3" t="inlineStr">
        <is>
          <t>Emollient</t>
        </is>
      </c>
      <c r="E22" s="3" t="n">
        <v>190</v>
      </c>
      <c r="F22" s="3" t="inlineStr">
        <is>
          <t>Moisturizer, Serum, Sunscreen, Body Lotion</t>
        </is>
      </c>
      <c r="G22" s="3" t="inlineStr">
        <is>
          <t>2-15%</t>
        </is>
      </c>
      <c r="H22" s="3" t="inlineStr">
        <is>
          <t>Bulk</t>
        </is>
      </c>
      <c r="I22" s="3" t="inlineStr">
        <is>
          <t>MCT Oil Emollient</t>
        </is>
      </c>
      <c r="J22" s="3" t="inlineStr">
        <is>
          <t>INR 200-350/kg; coconut/palm kernel derived; IOI, Wilmar suppliers</t>
        </is>
      </c>
      <c r="K22" s="3" t="inlineStr">
        <is>
          <t>Low-moderate - commodity emollient</t>
        </is>
      </c>
      <c r="L22" s="3" t="inlineStr">
        <is>
          <t>No</t>
        </is>
      </c>
      <c r="M22" s="3" t="inlineStr">
        <is>
          <t>No</t>
        </is>
      </c>
      <c r="N22" s="23" t="inlineStr">
        <is>
          <t>291590</t>
        </is>
      </c>
    </row>
    <row r="23" ht="15.75" customHeight="1" s="19">
      <c r="A23" s="3" t="n">
        <v>21</v>
      </c>
      <c r="B23" s="3" t="inlineStr">
        <is>
          <t>Sodium Lauryl Sulfate (SLS)</t>
        </is>
      </c>
      <c r="C23" s="3" t="inlineStr">
        <is>
          <t>151-21-3</t>
        </is>
      </c>
      <c r="D23" s="3" t="inlineStr">
        <is>
          <t>Anionic Surfactant</t>
        </is>
      </c>
      <c r="E23" s="3" t="n">
        <v>180</v>
      </c>
      <c r="F23" s="3" t="inlineStr">
        <is>
          <t>Shampoo, Face Wash, Toothpaste</t>
        </is>
      </c>
      <c r="G23" s="3" t="inlineStr">
        <is>
          <t>5-25%</t>
        </is>
      </c>
      <c r="H23" s="3" t="inlineStr">
        <is>
          <t>Bulk</t>
        </is>
      </c>
      <c r="I23" s="3" t="inlineStr">
        <is>
          <t>Primary Surfactant</t>
        </is>
      </c>
      <c r="J23" s="3" t="inlineStr">
        <is>
          <t>Price increased Apr 2025 per ChemAnalyst; INR 78-120/kg; India SLS market growing</t>
        </is>
      </c>
      <c r="K23" s="3" t="inlineStr">
        <is>
          <t>In catalog - competitive pricing needed</t>
        </is>
      </c>
      <c r="L23" s="3" t="inlineStr">
        <is>
          <t>Yes</t>
        </is>
      </c>
      <c r="M23" s="3" t="inlineStr">
        <is>
          <t>Yes</t>
        </is>
      </c>
      <c r="N23" s="23" t="inlineStr">
        <is>
          <t>340211</t>
        </is>
      </c>
    </row>
    <row r="24" ht="15.75" customHeight="1" s="19">
      <c r="A24" s="3" t="n">
        <v>22</v>
      </c>
      <c r="B24" s="3" t="inlineStr">
        <is>
          <t>Allantoin</t>
        </is>
      </c>
      <c r="C24" s="3" t="inlineStr">
        <is>
          <t>97-59-6</t>
        </is>
      </c>
      <c r="D24" s="3" t="inlineStr">
        <is>
          <t>Soothing / Healing Agent</t>
        </is>
      </c>
      <c r="E24" s="3" t="n">
        <v>180</v>
      </c>
      <c r="F24" s="3" t="inlineStr">
        <is>
          <t>Moisturizer, Sunscreen, Body Lotion, Face Wash</t>
        </is>
      </c>
      <c r="G24" s="3" t="inlineStr">
        <is>
          <t>0.1-2%</t>
        </is>
      </c>
      <c r="H24" s="3" t="inlineStr">
        <is>
          <t>Active</t>
        </is>
      </c>
      <c r="I24" s="3" t="inlineStr">
        <is>
          <t>Purine Derivative</t>
        </is>
      </c>
      <c r="J24" s="3" t="inlineStr">
        <is>
          <t>INR 400-600/kg; well-established soothing agent</t>
        </is>
      </c>
      <c r="K24" s="3" t="inlineStr">
        <is>
          <t>Low-moderate - commodity active</t>
        </is>
      </c>
      <c r="L24" s="3" t="inlineStr">
        <is>
          <t>No</t>
        </is>
      </c>
      <c r="M24" s="3" t="inlineStr">
        <is>
          <t>No</t>
        </is>
      </c>
      <c r="N24" s="23" t="inlineStr">
        <is>
          <t>293399</t>
        </is>
      </c>
    </row>
    <row r="25" ht="15.75" customHeight="1" s="19">
      <c r="A25" s="3" t="n">
        <v>23</v>
      </c>
      <c r="B25" s="3" t="inlineStr">
        <is>
          <t>Ethylhexylglycerin</t>
        </is>
      </c>
      <c r="C25" s="3" t="inlineStr">
        <is>
          <t>70445-33-9</t>
        </is>
      </c>
      <c r="D25" s="3" t="inlineStr">
        <is>
          <t>Preservative Booster</t>
        </is>
      </c>
      <c r="E25" s="3" t="n">
        <v>180</v>
      </c>
      <c r="F25" s="3" t="inlineStr">
        <is>
          <t>Moisturizer, Serum, Sunscreen, Face Wash</t>
        </is>
      </c>
      <c r="G25" s="3" t="inlineStr">
        <is>
          <t>0.3-1%</t>
        </is>
      </c>
      <c r="H25" s="3" t="inlineStr">
        <is>
          <t>Active</t>
        </is>
      </c>
      <c r="I25" s="3" t="inlineStr">
        <is>
          <t>Multifunctional Active</t>
        </is>
      </c>
      <c r="J25" s="3" t="inlineStr">
        <is>
          <t>INR 1200-1800/kg; Schülke (now Lanxess) originated; growing paraben-free demand</t>
        </is>
      </c>
      <c r="K25" s="3" t="inlineStr">
        <is>
          <t>In Scimplify BPC - moderate specialty opportunity</t>
        </is>
      </c>
      <c r="L25" s="3" t="inlineStr">
        <is>
          <t>No</t>
        </is>
      </c>
      <c r="M25" s="3" t="inlineStr">
        <is>
          <t>Yes</t>
        </is>
      </c>
      <c r="N25" s="23" t="inlineStr">
        <is>
          <t>290949</t>
        </is>
      </c>
    </row>
    <row r="26" ht="15.75" customHeight="1" s="19">
      <c r="A26" s="3" t="n">
        <v>24</v>
      </c>
      <c r="B26" s="3" t="inlineStr">
        <is>
          <t>Ethylhexyl Methoxycinnamate (OMC)</t>
        </is>
      </c>
      <c r="C26" s="3" t="inlineStr">
        <is>
          <t>5466-77-3</t>
        </is>
      </c>
      <c r="D26" s="3" t="inlineStr">
        <is>
          <t>UV Filter (UVB)</t>
        </is>
      </c>
      <c r="E26" s="3" t="n">
        <v>170</v>
      </c>
      <c r="F26" s="3" t="inlineStr">
        <is>
          <t>Sunscreen, Foundation, Moisturizer with SPF, Lip care</t>
        </is>
      </c>
      <c r="G26" s="3" t="inlineStr">
        <is>
          <t>3-7.5%</t>
        </is>
      </c>
      <c r="H26" s="3" t="inlineStr">
        <is>
          <t>Active</t>
        </is>
      </c>
      <c r="I26" s="3" t="inlineStr">
        <is>
          <t>Organic UV Filter</t>
        </is>
      </c>
      <c r="J26" s="3" t="inlineStr">
        <is>
          <t>INR 650-800/kg; widely used UVB filter; regulatory scrutiny growing</t>
        </is>
      </c>
      <c r="K26" s="3" t="inlineStr">
        <is>
          <t>In Scimplify BPC - good trading item for sun care formulators</t>
        </is>
      </c>
      <c r="L26" s="3" t="inlineStr">
        <is>
          <t>No</t>
        </is>
      </c>
      <c r="M26" s="3" t="inlineStr">
        <is>
          <t>Yes</t>
        </is>
      </c>
      <c r="N26" s="23" t="inlineStr">
        <is>
          <t>291639</t>
        </is>
      </c>
    </row>
    <row r="27" ht="15.75" customHeight="1" s="19">
      <c r="A27" s="3" t="n">
        <v>25</v>
      </c>
      <c r="B27" s="3" t="inlineStr">
        <is>
          <t>Sodium Laureth Sulfate (SLES)</t>
        </is>
      </c>
      <c r="C27" s="3" t="inlineStr">
        <is>
          <t>68585-34-2</t>
        </is>
      </c>
      <c r="D27" s="3" t="inlineStr">
        <is>
          <t>Anionic Surfactant</t>
        </is>
      </c>
      <c r="E27" s="3" t="n">
        <v>170</v>
      </c>
      <c r="F27" s="3" t="inlineStr">
        <is>
          <t>Shampoo, Face Wash, Body Wash</t>
        </is>
      </c>
      <c r="G27" s="3" t="inlineStr">
        <is>
          <t>5-20%</t>
        </is>
      </c>
      <c r="H27" s="3" t="inlineStr">
        <is>
          <t>Bulk</t>
        </is>
      </c>
      <c r="I27" s="3" t="inlineStr">
        <is>
          <t>Ethoxylated Sulfate</t>
        </is>
      </c>
      <c r="J27" s="3" t="inlineStr">
        <is>
          <t>INR 45-65/kg (28% active); Galaxy Surfactants major Indian producer</t>
        </is>
      </c>
      <c r="K27" s="3" t="inlineStr">
        <is>
          <t>In catalog - commodity surfactant, very low margin</t>
        </is>
      </c>
      <c r="L27" s="3" t="inlineStr">
        <is>
          <t>Yes</t>
        </is>
      </c>
      <c r="M27" s="3" t="inlineStr">
        <is>
          <t>No</t>
        </is>
      </c>
      <c r="N27" s="23" t="inlineStr">
        <is>
          <t>340211</t>
        </is>
      </c>
    </row>
    <row r="28" ht="15.75" customHeight="1" s="19">
      <c r="A28" s="3" t="n">
        <v>26</v>
      </c>
      <c r="B28" s="3" t="inlineStr">
        <is>
          <t>Xanthan Gum</t>
        </is>
      </c>
      <c r="C28" s="3" t="inlineStr">
        <is>
          <t>11138-66-2</t>
        </is>
      </c>
      <c r="D28" s="3" t="inlineStr">
        <is>
          <t>Thickener / Stabilizer</t>
        </is>
      </c>
      <c r="E28" s="3" t="n">
        <v>170</v>
      </c>
      <c r="F28" s="3" t="inlineStr">
        <is>
          <t>Moisturizer, Serum, Face Wash, Toner, Body Lotion</t>
        </is>
      </c>
      <c r="G28" s="3" t="inlineStr">
        <is>
          <t>0.1-1%</t>
        </is>
      </c>
      <c r="H28" s="3" t="inlineStr">
        <is>
          <t>Bulk</t>
        </is>
      </c>
      <c r="I28" s="3" t="inlineStr">
        <is>
          <t>Microbial Polysaccharide</t>
        </is>
      </c>
      <c r="J28" s="3" t="inlineStr">
        <is>
          <t>INR 300-500/kg; fermentation-derived; CP Kelco, Deosen major</t>
        </is>
      </c>
      <c r="K28" s="3" t="inlineStr">
        <is>
          <t>In catalog (Mining) - cross-sell to personal care</t>
        </is>
      </c>
      <c r="L28" s="3" t="inlineStr">
        <is>
          <t>Yes</t>
        </is>
      </c>
      <c r="M28" s="3" t="inlineStr">
        <is>
          <t>No</t>
        </is>
      </c>
      <c r="N28" s="23" t="inlineStr">
        <is>
          <t>391390</t>
        </is>
      </c>
    </row>
    <row r="29" ht="15.75" customHeight="1" s="19">
      <c r="A29" s="3" t="n">
        <v>27</v>
      </c>
      <c r="B29" s="3" t="inlineStr">
        <is>
          <t>Titanium Dioxide</t>
        </is>
      </c>
      <c r="C29" s="3" t="inlineStr">
        <is>
          <t>13463-67-7</t>
        </is>
      </c>
      <c r="D29" s="3" t="inlineStr">
        <is>
          <t>Physical UV Filter / Pigment</t>
        </is>
      </c>
      <c r="E29" s="3" t="n">
        <v>160</v>
      </c>
      <c r="F29" s="3" t="inlineStr">
        <is>
          <t>Sunscreen, Foundation, Lipstick</t>
        </is>
      </c>
      <c r="G29" s="3" t="inlineStr">
        <is>
          <t>2-25%</t>
        </is>
      </c>
      <c r="H29" s="3" t="inlineStr">
        <is>
          <t>Bulk</t>
        </is>
      </c>
      <c r="I29" s="3" t="inlineStr">
        <is>
          <t>Metal Oxide UV Filter</t>
        </is>
      </c>
      <c r="J29" s="3" t="inlineStr">
        <is>
          <t>Global market ~$18B; INR 180-250/kg (pigment grade); nano-grade for cosmetics higher</t>
        </is>
      </c>
      <c r="K29" s="3" t="inlineStr">
        <is>
          <t>In catalog (Coating &amp; Inks) - dual-use opportunity</t>
        </is>
      </c>
      <c r="L29" s="3" t="inlineStr">
        <is>
          <t>Yes</t>
        </is>
      </c>
      <c r="M29" s="3" t="inlineStr">
        <is>
          <t>No</t>
        </is>
      </c>
      <c r="N29" s="23" t="inlineStr">
        <is>
          <t>282300</t>
        </is>
      </c>
    </row>
    <row r="30" ht="15.75" customHeight="1" s="19">
      <c r="A30" s="3" t="n">
        <v>28</v>
      </c>
      <c r="B30" s="3" t="inlineStr">
        <is>
          <t>Cocamidopropyl Betaine</t>
        </is>
      </c>
      <c r="C30" s="3" t="inlineStr">
        <is>
          <t>61789-40-0</t>
        </is>
      </c>
      <c r="D30" s="3" t="inlineStr">
        <is>
          <t>Amphoteric Surfactant</t>
        </is>
      </c>
      <c r="E30" s="3" t="n">
        <v>160</v>
      </c>
      <c r="F30" s="3" t="inlineStr">
        <is>
          <t>Shampoo, Face Wash, Body Wash</t>
        </is>
      </c>
      <c r="G30" s="3" t="inlineStr">
        <is>
          <t>3-10%</t>
        </is>
      </c>
      <c r="H30" s="3" t="inlineStr">
        <is>
          <t>Bulk</t>
        </is>
      </c>
      <c r="I30" s="3" t="inlineStr">
        <is>
          <t>Betaine Co-surfactant</t>
        </is>
      </c>
      <c r="J30" s="3" t="inlineStr">
        <is>
          <t>INR 100-160/kg; growing demand from mild surfactant trend</t>
        </is>
      </c>
      <c r="K30" s="3" t="inlineStr">
        <is>
          <t>In catalog - moderate opportunity</t>
        </is>
      </c>
      <c r="L30" s="3" t="inlineStr">
        <is>
          <t>Yes</t>
        </is>
      </c>
      <c r="M30" s="3" t="inlineStr">
        <is>
          <t>No</t>
        </is>
      </c>
      <c r="N30" s="23" t="inlineStr">
        <is>
          <t>292390</t>
        </is>
      </c>
    </row>
    <row r="31" ht="15.75" customHeight="1" s="19">
      <c r="A31" s="3" t="n">
        <v>29</v>
      </c>
      <c r="B31" s="3" t="inlineStr">
        <is>
          <t>Benzyl Alcohol</t>
        </is>
      </c>
      <c r="C31" s="3" t="inlineStr">
        <is>
          <t>100-51-6</t>
        </is>
      </c>
      <c r="D31" s="3" t="inlineStr">
        <is>
          <t>Preservative / Solvent</t>
        </is>
      </c>
      <c r="E31" s="3" t="n">
        <v>160</v>
      </c>
      <c r="F31" s="3" t="inlineStr">
        <is>
          <t>Serum, Moisturizer, Face Wash</t>
        </is>
      </c>
      <c r="G31" s="3" t="inlineStr">
        <is>
          <t>0.5-1%</t>
        </is>
      </c>
      <c r="H31" s="3" t="inlineStr">
        <is>
          <t>Bulk</t>
        </is>
      </c>
      <c r="I31" s="3" t="inlineStr">
        <is>
          <t>Aromatic Alcohol Preservative</t>
        </is>
      </c>
      <c r="J31" s="3" t="inlineStr">
        <is>
          <t>INR 200-300/kg; India has producers (Lanxess Nagda)</t>
        </is>
      </c>
      <c r="K31" s="3" t="inlineStr">
        <is>
          <t>In Scimplify BPC - commodity preservative</t>
        </is>
      </c>
      <c r="L31" s="3" t="inlineStr">
        <is>
          <t>No</t>
        </is>
      </c>
      <c r="M31" s="3" t="inlineStr">
        <is>
          <t>Yes</t>
        </is>
      </c>
      <c r="N31" s="23" t="inlineStr">
        <is>
          <t>290622</t>
        </is>
      </c>
    </row>
    <row r="32" ht="15.75" customHeight="1" s="19">
      <c r="A32" s="3" t="n">
        <v>30</v>
      </c>
      <c r="B32" s="3" t="inlineStr">
        <is>
          <t>Butyl Methoxydibenzoylmethane (Avobenzone)</t>
        </is>
      </c>
      <c r="C32" s="3" t="inlineStr">
        <is>
          <t>70356-09-1</t>
        </is>
      </c>
      <c r="D32" s="3" t="inlineStr">
        <is>
          <t>UV Filter (UVA)</t>
        </is>
      </c>
      <c r="E32" s="3" t="n">
        <v>150</v>
      </c>
      <c r="F32" s="3" t="inlineStr">
        <is>
          <t>Sunscreen, Foundation, Moisturizer with SPF</t>
        </is>
      </c>
      <c r="G32" s="3" t="inlineStr">
        <is>
          <t>1-3%</t>
        </is>
      </c>
      <c r="H32" s="3" t="inlineStr">
        <is>
          <t>Active</t>
        </is>
      </c>
      <c r="I32" s="3" t="inlineStr">
        <is>
          <t>Organic UV Filter</t>
        </is>
      </c>
      <c r="J32" s="3" t="inlineStr">
        <is>
          <t>INR 2500-3500/kg; photostability issues drive combo use; DSM/BASF major suppliers</t>
        </is>
      </c>
      <c r="K32" s="3" t="inlineStr">
        <is>
          <t>In Scimplify BPC - high-value UV filter</t>
        </is>
      </c>
      <c r="L32" s="3" t="inlineStr">
        <is>
          <t>No</t>
        </is>
      </c>
      <c r="M32" s="3" t="inlineStr">
        <is>
          <t>Yes</t>
        </is>
      </c>
      <c r="N32" s="23" t="inlineStr">
        <is>
          <t>291469</t>
        </is>
      </c>
    </row>
    <row r="33" ht="15.75" customHeight="1" s="19">
      <c r="A33" s="3" t="n">
        <v>31</v>
      </c>
      <c r="B33" s="3" t="inlineStr">
        <is>
          <t>Lactic Acid</t>
        </is>
      </c>
      <c r="C33" s="3" t="inlineStr">
        <is>
          <t>79-33-4</t>
        </is>
      </c>
      <c r="D33" s="3" t="inlineStr">
        <is>
          <t>AHA / pH Adjuster</t>
        </is>
      </c>
      <c r="E33" s="3" t="n">
        <v>150</v>
      </c>
      <c r="F33" s="3" t="inlineStr">
        <is>
          <t>Serum, Toner, Moisturizer, Body Lotion</t>
        </is>
      </c>
      <c r="G33" s="3" t="inlineStr">
        <is>
          <t>0.5-5%</t>
        </is>
      </c>
      <c r="H33" s="3" t="inlineStr">
        <is>
          <t>Active</t>
        </is>
      </c>
      <c r="I33" s="3" t="inlineStr">
        <is>
          <t>Alpha Hydroxy Acid</t>
        </is>
      </c>
      <c r="J33" s="3" t="inlineStr">
        <is>
          <t>INR 120-180/kg; Corbion/Galactic major producers; bio-fermentation</t>
        </is>
      </c>
      <c r="K33" s="3" t="inlineStr">
        <is>
          <t>In Scimplify BPC - commodity AHA</t>
        </is>
      </c>
      <c r="L33" s="3" t="inlineStr">
        <is>
          <t>No</t>
        </is>
      </c>
      <c r="M33" s="3" t="inlineStr">
        <is>
          <t>Yes</t>
        </is>
      </c>
      <c r="N33" s="23" t="inlineStr">
        <is>
          <t>291811</t>
        </is>
      </c>
    </row>
    <row r="34" ht="15.75" customHeight="1" s="19">
      <c r="A34" s="3" t="n">
        <v>32</v>
      </c>
      <c r="B34" s="3" t="inlineStr">
        <is>
          <t>Ceteareth-20</t>
        </is>
      </c>
      <c r="C34" s="3" t="inlineStr">
        <is>
          <t>68439-49-6</t>
        </is>
      </c>
      <c r="D34" s="3" t="inlineStr">
        <is>
          <t>Emulsifier</t>
        </is>
      </c>
      <c r="E34" s="3" t="n">
        <v>150</v>
      </c>
      <c r="F34" s="3" t="inlineStr">
        <is>
          <t>Moisturizer, Body Lotion, Sunscreen</t>
        </is>
      </c>
      <c r="G34" s="3" t="inlineStr">
        <is>
          <t>1-3%</t>
        </is>
      </c>
      <c r="H34" s="3" t="inlineStr">
        <is>
          <t>Bulk</t>
        </is>
      </c>
      <c r="I34" s="3" t="inlineStr">
        <is>
          <t>Ethoxylated Fatty Alcohol</t>
        </is>
      </c>
      <c r="J34" s="3" t="inlineStr">
        <is>
          <t>INR 180-280/kg; standard O/W emulsifier</t>
        </is>
      </c>
      <c r="K34" s="3" t="inlineStr">
        <is>
          <t>Low - commodity emulsifier</t>
        </is>
      </c>
      <c r="L34" s="3" t="inlineStr">
        <is>
          <t>No</t>
        </is>
      </c>
      <c r="M34" s="3" t="inlineStr">
        <is>
          <t>No</t>
        </is>
      </c>
      <c r="N34" s="23" t="inlineStr">
        <is>
          <t>340290</t>
        </is>
      </c>
    </row>
    <row r="35" ht="15.75" customHeight="1" s="19">
      <c r="A35" s="3" t="n">
        <v>33</v>
      </c>
      <c r="B35" s="3" t="inlineStr">
        <is>
          <t>Salicylic Acid (BHA)</t>
        </is>
      </c>
      <c r="C35" s="3" t="inlineStr">
        <is>
          <t>69-72-7</t>
        </is>
      </c>
      <c r="D35" s="3" t="inlineStr">
        <is>
          <t>Exfoliant / Anti-acne</t>
        </is>
      </c>
      <c r="E35" s="3" t="n">
        <v>140</v>
      </c>
      <c r="F35" s="3" t="inlineStr">
        <is>
          <t>Face Wash, Serum, Toner</t>
        </is>
      </c>
      <c r="G35" s="3" t="inlineStr">
        <is>
          <t>0.5-2%</t>
        </is>
      </c>
      <c r="H35" s="3" t="inlineStr">
        <is>
          <t>Active</t>
        </is>
      </c>
      <c r="I35" s="3" t="inlineStr">
        <is>
          <t>Beta Hydroxy Acid</t>
        </is>
      </c>
      <c r="J35" s="3" t="inlineStr">
        <is>
          <t>INR 350-500/kg; India is major producer (aspirin intermediate)</t>
        </is>
      </c>
      <c r="K35" s="3" t="inlineStr">
        <is>
          <t>Low - well-supplied domestically</t>
        </is>
      </c>
      <c r="L35" s="3" t="inlineStr">
        <is>
          <t>No</t>
        </is>
      </c>
      <c r="M35" s="3" t="inlineStr">
        <is>
          <t>No</t>
        </is>
      </c>
      <c r="N35" s="23" t="inlineStr">
        <is>
          <t>291821</t>
        </is>
      </c>
    </row>
    <row r="36" ht="15.75" customHeight="1" s="19">
      <c r="A36" s="3" t="n">
        <v>34</v>
      </c>
      <c r="B36" s="3" t="inlineStr">
        <is>
          <t>Caprylyl Glycol</t>
        </is>
      </c>
      <c r="C36" s="3" t="inlineStr">
        <is>
          <t>1117-86-8</t>
        </is>
      </c>
      <c r="D36" s="3" t="inlineStr">
        <is>
          <t>Preservative Booster</t>
        </is>
      </c>
      <c r="E36" s="3" t="n">
        <v>140</v>
      </c>
      <c r="F36" s="3" t="inlineStr">
        <is>
          <t>Serum, Moisturizer, Toner</t>
        </is>
      </c>
      <c r="G36" s="3" t="inlineStr">
        <is>
          <t>0.3-1%</t>
        </is>
      </c>
      <c r="H36" s="3" t="inlineStr">
        <is>
          <t>Active</t>
        </is>
      </c>
      <c r="I36" s="3" t="inlineStr">
        <is>
          <t>Diol Antimicrobial</t>
        </is>
      </c>
      <c r="J36" s="3" t="inlineStr">
        <is>
          <t>INR 1500-2200/kg; 1,2-octanediol; paraben-free trend driver</t>
        </is>
      </c>
      <c r="K36" s="3" t="inlineStr">
        <is>
          <t>In Scimplify BPC (as 1,2-Octanediol) - good opportunity</t>
        </is>
      </c>
      <c r="L36" s="3" t="inlineStr">
        <is>
          <t>No</t>
        </is>
      </c>
      <c r="M36" s="3" t="inlineStr">
        <is>
          <t>Yes</t>
        </is>
      </c>
      <c r="N36" s="23" t="inlineStr">
        <is>
          <t>290549</t>
        </is>
      </c>
    </row>
    <row r="37" ht="15.75" customHeight="1" s="19">
      <c r="A37" s="3" t="n">
        <v>35</v>
      </c>
      <c r="B37" s="3" t="inlineStr">
        <is>
          <t>Shea Butter</t>
        </is>
      </c>
      <c r="C37" s="3" t="inlineStr">
        <is>
          <t>977012-75-3</t>
        </is>
      </c>
      <c r="D37" s="3" t="inlineStr">
        <is>
          <t>Emollient / Occlusive</t>
        </is>
      </c>
      <c r="E37" s="3" t="n">
        <v>140</v>
      </c>
      <c r="F37" s="3" t="inlineStr">
        <is>
          <t>Body Lotion, Moisturizer, Lipstick, Hair Oil</t>
        </is>
      </c>
      <c r="G37" s="3" t="inlineStr">
        <is>
          <t>2-20%</t>
        </is>
      </c>
      <c r="H37" s="3" t="inlineStr">
        <is>
          <t>Bulk</t>
        </is>
      </c>
      <c r="I37" s="3" t="inlineStr">
        <is>
          <t>Plant-derived Butter</t>
        </is>
      </c>
      <c r="J37" s="3" t="inlineStr">
        <is>
          <t>INR 400-700/kg refined; West Africa supply; OLVEA, AAK major refiners</t>
        </is>
      </c>
      <c r="K37" s="3" t="inlineStr">
        <is>
          <t>Moderate - growing premium natural demand</t>
        </is>
      </c>
      <c r="L37" s="3" t="inlineStr">
        <is>
          <t>No</t>
        </is>
      </c>
      <c r="M37" s="3" t="inlineStr">
        <is>
          <t>No</t>
        </is>
      </c>
      <c r="N37" s="23" t="inlineStr">
        <is>
          <t>150420</t>
        </is>
      </c>
    </row>
    <row r="38" ht="15.75" customHeight="1" s="19">
      <c r="A38" s="3" t="n">
        <v>36</v>
      </c>
      <c r="B38" s="3" t="inlineStr">
        <is>
          <t>Octocrylene</t>
        </is>
      </c>
      <c r="C38" s="3" t="inlineStr">
        <is>
          <t>6197-30-4</t>
        </is>
      </c>
      <c r="D38" s="3" t="inlineStr">
        <is>
          <t>UV Filter (UVB) / Photostabilizer</t>
        </is>
      </c>
      <c r="E38" s="3" t="n">
        <v>130</v>
      </c>
      <c r="F38" s="3" t="inlineStr">
        <is>
          <t>Sunscreen, Foundation</t>
        </is>
      </c>
      <c r="G38" s="3" t="inlineStr">
        <is>
          <t>2-10%</t>
        </is>
      </c>
      <c r="H38" s="3" t="inlineStr">
        <is>
          <t>Active</t>
        </is>
      </c>
      <c r="I38" s="3" t="inlineStr">
        <is>
          <t>Organic UV Filter</t>
        </is>
      </c>
      <c r="J38" s="3" t="inlineStr">
        <is>
          <t>INR 1200-1800/kg; dual function (UV filter + avobenzone stabilizer)</t>
        </is>
      </c>
      <c r="K38" s="3" t="inlineStr">
        <is>
          <t>Moderate opportunity</t>
        </is>
      </c>
      <c r="L38" s="3" t="inlineStr">
        <is>
          <t>No</t>
        </is>
      </c>
      <c r="M38" s="3" t="inlineStr">
        <is>
          <t>No</t>
        </is>
      </c>
      <c r="N38" s="23" t="inlineStr">
        <is>
          <t>292690</t>
        </is>
      </c>
    </row>
    <row r="39" ht="15.75" customHeight="1" s="19">
      <c r="A39" s="3" t="n">
        <v>37</v>
      </c>
      <c r="B39" s="3" t="inlineStr">
        <is>
          <t>Retinol / Retinyl Palmitate</t>
        </is>
      </c>
      <c r="C39" s="3" t="inlineStr">
        <is>
          <t>68-26-8</t>
        </is>
      </c>
      <c r="D39" s="3" t="inlineStr">
        <is>
          <t>Anti-aging Active</t>
        </is>
      </c>
      <c r="E39" s="3" t="n">
        <v>130</v>
      </c>
      <c r="F39" s="3" t="inlineStr">
        <is>
          <t>Serum, Moisturizer, Sunscreen</t>
        </is>
      </c>
      <c r="G39" s="3" t="inlineStr">
        <is>
          <t>0.01-1%</t>
        </is>
      </c>
      <c r="H39" s="3" t="inlineStr">
        <is>
          <t>Active</t>
        </is>
      </c>
      <c r="I39" s="3" t="inlineStr">
        <is>
          <t>Vitamin A Derivative</t>
        </is>
      </c>
      <c r="J39" s="3" t="inlineStr">
        <is>
          <t>INR 15,000-30,000/kg (retinol); DSM/BASF monopoly; encapsulated forms trending</t>
        </is>
      </c>
      <c r="K39" s="3" t="inlineStr">
        <is>
          <t>Moderate - specialty, multi-source</t>
        </is>
      </c>
      <c r="L39" s="3" t="inlineStr">
        <is>
          <t>No</t>
        </is>
      </c>
      <c r="M39" s="3" t="inlineStr">
        <is>
          <t>No</t>
        </is>
      </c>
      <c r="N39" s="23" t="inlineStr">
        <is>
          <t>293621</t>
        </is>
      </c>
    </row>
    <row r="40" ht="15.75" customHeight="1" s="19">
      <c r="A40" s="3" t="n">
        <v>38</v>
      </c>
      <c r="B40" s="3" t="inlineStr">
        <is>
          <t>PEG-100 Stearate</t>
        </is>
      </c>
      <c r="C40" s="3" t="inlineStr">
        <is>
          <t>9004-99-3</t>
        </is>
      </c>
      <c r="D40" s="3" t="inlineStr">
        <is>
          <t>Emulsifier</t>
        </is>
      </c>
      <c r="E40" s="3" t="n">
        <v>130</v>
      </c>
      <c r="F40" s="3" t="inlineStr">
        <is>
          <t>Moisturizer, Sunscreen, Body Lotion</t>
        </is>
      </c>
      <c r="G40" s="3" t="inlineStr">
        <is>
          <t>1-3%</t>
        </is>
      </c>
      <c r="H40" s="3" t="inlineStr">
        <is>
          <t>Bulk</t>
        </is>
      </c>
      <c r="I40" s="3" t="inlineStr">
        <is>
          <t>PEG Ester Emulsifier</t>
        </is>
      </c>
      <c r="J40" s="3" t="inlineStr">
        <is>
          <t>INR 250-400/kg; standard cosmetic emulsifier</t>
        </is>
      </c>
      <c r="K40" s="3" t="inlineStr">
        <is>
          <t>Low - commodity emulsifier</t>
        </is>
      </c>
      <c r="L40" s="3" t="inlineStr">
        <is>
          <t>No</t>
        </is>
      </c>
      <c r="M40" s="3" t="inlineStr">
        <is>
          <t>No</t>
        </is>
      </c>
      <c r="N40" s="23" t="inlineStr">
        <is>
          <t>340290</t>
        </is>
      </c>
    </row>
    <row r="41" ht="15.75" customHeight="1" s="19">
      <c r="A41" s="3" t="n">
        <v>39</v>
      </c>
      <c r="B41" s="3" t="inlineStr">
        <is>
          <t>Centella Asiatica Extract</t>
        </is>
      </c>
      <c r="C41" s="3" t="inlineStr">
        <is>
          <t>84696-21-9</t>
        </is>
      </c>
      <c r="D41" s="3" t="inlineStr">
        <is>
          <t>Soothing / Anti-aging</t>
        </is>
      </c>
      <c r="E41" s="3" t="n">
        <v>130</v>
      </c>
      <c r="F41" s="3" t="inlineStr">
        <is>
          <t>Serum, Moisturizer, Toner, Sunscreen</t>
        </is>
      </c>
      <c r="G41" s="3" t="inlineStr">
        <is>
          <t>0.1-5%</t>
        </is>
      </c>
      <c r="H41" s="3" t="inlineStr">
        <is>
          <t>Active</t>
        </is>
      </c>
      <c r="I41" s="3" t="inlineStr">
        <is>
          <t>Botanical Extract (Cica)</t>
        </is>
      </c>
      <c r="J41" s="3" t="inlineStr">
        <is>
          <t>INR 3000-8000/kg depending on actives %; K-beauty influence driving demand</t>
        </is>
      </c>
      <c r="K41" s="3" t="inlineStr">
        <is>
          <t>In catalog (Food - Centella Oil) - cross-sell opportunity</t>
        </is>
      </c>
      <c r="L41" s="3" t="inlineStr">
        <is>
          <t>Yes</t>
        </is>
      </c>
      <c r="M41" s="3" t="inlineStr">
        <is>
          <t>No</t>
        </is>
      </c>
      <c r="N41" s="23" t="inlineStr">
        <is>
          <t>130219</t>
        </is>
      </c>
    </row>
    <row r="42" ht="15.75" customHeight="1" s="19">
      <c r="A42" s="3" t="n">
        <v>40</v>
      </c>
      <c r="B42" s="3" t="inlineStr">
        <is>
          <t>Zinc Oxide</t>
        </is>
      </c>
      <c r="C42" s="3" t="inlineStr">
        <is>
          <t>1314-13-2</t>
        </is>
      </c>
      <c r="D42" s="3" t="inlineStr">
        <is>
          <t>Physical UV Filter / Antimicrobial</t>
        </is>
      </c>
      <c r="E42" s="3" t="n">
        <v>120</v>
      </c>
      <c r="F42" s="3" t="inlineStr">
        <is>
          <t>Sunscreen, Foundation, Baby care</t>
        </is>
      </c>
      <c r="G42" s="3" t="inlineStr">
        <is>
          <t>2-25%</t>
        </is>
      </c>
      <c r="H42" s="3" t="inlineStr">
        <is>
          <t>Bulk</t>
        </is>
      </c>
      <c r="I42" s="3" t="inlineStr">
        <is>
          <t>Metal Oxide UV Filter</t>
        </is>
      </c>
      <c r="J42" s="3" t="inlineStr">
        <is>
          <t>INR 150-220/kg; cosmetic grade premium; reef-safe trend driver</t>
        </is>
      </c>
      <c r="K42" s="3" t="inlineStr">
        <is>
          <t>Moderate - reef-safe trend driving demand</t>
        </is>
      </c>
      <c r="L42" s="3" t="inlineStr">
        <is>
          <t>No</t>
        </is>
      </c>
      <c r="M42" s="3" t="inlineStr">
        <is>
          <t>No</t>
        </is>
      </c>
      <c r="N42" s="23" t="inlineStr">
        <is>
          <t>281700</t>
        </is>
      </c>
    </row>
    <row r="43" ht="15.75" customHeight="1" s="19">
      <c r="A43" s="3" t="n">
        <v>41</v>
      </c>
      <c r="B43" s="3" t="inlineStr">
        <is>
          <t>Alpha Arbutin</t>
        </is>
      </c>
      <c r="C43" s="3" t="inlineStr">
        <is>
          <t>84380-01-8</t>
        </is>
      </c>
      <c r="D43" s="3" t="inlineStr">
        <is>
          <t>Skin Brightening</t>
        </is>
      </c>
      <c r="E43" s="3" t="n">
        <v>120</v>
      </c>
      <c r="F43" s="3" t="inlineStr">
        <is>
          <t>Serum, Moisturizer, Toner</t>
        </is>
      </c>
      <c r="G43" s="3" t="inlineStr">
        <is>
          <t>0.5-2%</t>
        </is>
      </c>
      <c r="H43" s="3" t="inlineStr">
        <is>
          <t>Active</t>
        </is>
      </c>
      <c r="I43" s="3" t="inlineStr">
        <is>
          <t>Glycosylated Hydroquinone</t>
        </is>
      </c>
      <c r="J43" s="3" t="inlineStr">
        <is>
          <t>INR 8,000-12,000/kg; trending ingredient in Indian D2C brands</t>
        </is>
      </c>
      <c r="K43" s="3" t="inlineStr">
        <is>
          <t>High opportunity - not in Scimplify catalog, strong demand</t>
        </is>
      </c>
      <c r="L43" s="3" t="inlineStr">
        <is>
          <t>No</t>
        </is>
      </c>
      <c r="M43" s="3" t="inlineStr">
        <is>
          <t>No</t>
        </is>
      </c>
      <c r="N43" s="23" t="inlineStr">
        <is>
          <t>293890</t>
        </is>
      </c>
    </row>
    <row r="44" ht="15.75" customHeight="1" s="19">
      <c r="A44" s="3" t="n">
        <v>42</v>
      </c>
      <c r="B44" s="3" t="inlineStr">
        <is>
          <t>Glycolic Acid</t>
        </is>
      </c>
      <c r="C44" s="3" t="inlineStr">
        <is>
          <t>79-14-1</t>
        </is>
      </c>
      <c r="D44" s="3" t="inlineStr">
        <is>
          <t>AHA Exfoliant</t>
        </is>
      </c>
      <c r="E44" s="3" t="n">
        <v>110</v>
      </c>
      <c r="F44" s="3" t="inlineStr">
        <is>
          <t>Serum, Toner, Face Wash</t>
        </is>
      </c>
      <c r="G44" s="3" t="inlineStr">
        <is>
          <t>2-10%</t>
        </is>
      </c>
      <c r="H44" s="3" t="inlineStr">
        <is>
          <t>Active</t>
        </is>
      </c>
      <c r="I44" s="3" t="inlineStr">
        <is>
          <t>Alpha Hydroxy Acid</t>
        </is>
      </c>
      <c r="J44" s="3" t="inlineStr">
        <is>
          <t>INR 250-400/kg (70% solution); growing demand from chemical peel trend</t>
        </is>
      </c>
      <c r="K44" s="3" t="inlineStr">
        <is>
          <t>In Scimplify BPC - moderate opportunity</t>
        </is>
      </c>
      <c r="L44" s="3" t="inlineStr">
        <is>
          <t>No</t>
        </is>
      </c>
      <c r="M44" s="3" t="inlineStr">
        <is>
          <t>Yes</t>
        </is>
      </c>
      <c r="N44" s="23" t="inlineStr">
        <is>
          <t>291811</t>
        </is>
      </c>
    </row>
    <row r="45" ht="15.75" customHeight="1" s="19">
      <c r="A45" s="3" t="n">
        <v>43</v>
      </c>
      <c r="B45" s="3" t="inlineStr">
        <is>
          <t>Squalane</t>
        </is>
      </c>
      <c r="C45" s="3" t="inlineStr">
        <is>
          <t>111-02-4</t>
        </is>
      </c>
      <c r="D45" s="3" t="inlineStr">
        <is>
          <t>Emollient / Active</t>
        </is>
      </c>
      <c r="E45" s="3" t="n">
        <v>110</v>
      </c>
      <c r="F45" s="3" t="inlineStr">
        <is>
          <t>Serum, Moisturizer, Hair Oil</t>
        </is>
      </c>
      <c r="G45" s="3" t="inlineStr">
        <is>
          <t>1-10%</t>
        </is>
      </c>
      <c r="H45" s="3" t="inlineStr">
        <is>
          <t>Active</t>
        </is>
      </c>
      <c r="I45" s="3" t="inlineStr">
        <is>
          <t>Hydrogenated Squalene</t>
        </is>
      </c>
      <c r="J45" s="3" t="inlineStr">
        <is>
          <t>INR 2000-4000/kg; olive/sugarcane derived; Amyris/Neossance bio-squalane trending</t>
        </is>
      </c>
      <c r="K45" s="3" t="inlineStr">
        <is>
          <t>In Scimplify BPC (as Squalene) - rising D2C demand</t>
        </is>
      </c>
      <c r="L45" s="3" t="inlineStr">
        <is>
          <t>No</t>
        </is>
      </c>
      <c r="M45" s="3" t="inlineStr">
        <is>
          <t>Yes</t>
        </is>
      </c>
      <c r="N45" s="23" t="inlineStr">
        <is>
          <t>290219</t>
        </is>
      </c>
    </row>
    <row r="46" ht="15.75" customHeight="1" s="19">
      <c r="A46" s="3" t="n">
        <v>44</v>
      </c>
      <c r="B46" s="3" t="inlineStr">
        <is>
          <t>Isopropyl Palmitate</t>
        </is>
      </c>
      <c r="C46" s="3" t="inlineStr">
        <is>
          <t>142-91-6</t>
        </is>
      </c>
      <c r="D46" s="3" t="inlineStr">
        <is>
          <t>Emollient Ester</t>
        </is>
      </c>
      <c r="E46" s="3" t="n">
        <v>110</v>
      </c>
      <c r="F46" s="3" t="inlineStr">
        <is>
          <t>Moisturizer, Foundation, Body Lotion</t>
        </is>
      </c>
      <c r="G46" s="3" t="inlineStr">
        <is>
          <t>2-10%</t>
        </is>
      </c>
      <c r="H46" s="3" t="inlineStr">
        <is>
          <t>Bulk</t>
        </is>
      </c>
      <c r="I46" s="3" t="inlineStr">
        <is>
          <t>Synthetic Ester Emollient</t>
        </is>
      </c>
      <c r="J46" s="3" t="inlineStr">
        <is>
          <t>INR 150-250/kg; oleochemical derived; commodity ester</t>
        </is>
      </c>
      <c r="K46" s="3" t="inlineStr">
        <is>
          <t>In Scimplify BPC - commodity emollient</t>
        </is>
      </c>
      <c r="L46" s="3" t="inlineStr">
        <is>
          <t>No</t>
        </is>
      </c>
      <c r="M46" s="3" t="inlineStr">
        <is>
          <t>Yes</t>
        </is>
      </c>
      <c r="N46" s="23" t="inlineStr">
        <is>
          <t>291590</t>
        </is>
      </c>
    </row>
    <row r="47" ht="15.75" customHeight="1" s="19">
      <c r="A47" s="3" t="n">
        <v>45</v>
      </c>
      <c r="B47" s="3" t="inlineStr">
        <is>
          <t>Ceramides (Ceramide NP/AP/EOP)</t>
        </is>
      </c>
      <c r="C47" s="3" t="inlineStr">
        <is>
          <t>100403-19-8</t>
        </is>
      </c>
      <c r="D47" s="3" t="inlineStr">
        <is>
          <t>Barrier Repair Active</t>
        </is>
      </c>
      <c r="E47" s="3" t="n">
        <v>100</v>
      </c>
      <c r="F47" s="3" t="inlineStr">
        <is>
          <t>Moisturizer, Serum, Body Lotion, Toner</t>
        </is>
      </c>
      <c r="G47" s="3" t="inlineStr">
        <is>
          <t>0.1-1%</t>
        </is>
      </c>
      <c r="H47" s="3" t="inlineStr">
        <is>
          <t>Active</t>
        </is>
      </c>
      <c r="I47" s="3" t="inlineStr">
        <is>
          <t>Sphingolipid</t>
        </is>
      </c>
      <c r="J47" s="3" t="inlineStr">
        <is>
          <t>INR 50,000-200,000/kg; premium positioning; Evonik/Doosan major suppliers</t>
        </is>
      </c>
      <c r="K47" s="3" t="inlineStr">
        <is>
          <t>High opportunity - premium active, barrier repair trend</t>
        </is>
      </c>
      <c r="L47" s="3" t="inlineStr">
        <is>
          <t>No</t>
        </is>
      </c>
      <c r="M47" s="3" t="inlineStr">
        <is>
          <t>No</t>
        </is>
      </c>
      <c r="N47" s="23" t="inlineStr">
        <is>
          <t>293890</t>
        </is>
      </c>
    </row>
    <row r="48" ht="15.75" customHeight="1" s="19">
      <c r="A48" s="3" t="n">
        <v>46</v>
      </c>
      <c r="B48" s="3" t="inlineStr">
        <is>
          <t>Kojic Acid</t>
        </is>
      </c>
      <c r="C48" s="3" t="inlineStr">
        <is>
          <t>501-30-4</t>
        </is>
      </c>
      <c r="D48" s="3" t="inlineStr">
        <is>
          <t>Skin Brightening Active</t>
        </is>
      </c>
      <c r="E48" s="3" t="n">
        <v>100</v>
      </c>
      <c r="F48" s="3" t="inlineStr">
        <is>
          <t>Serum, Face Wash, Moisturizer</t>
        </is>
      </c>
      <c r="G48" s="3" t="inlineStr">
        <is>
          <t>0.5-2%</t>
        </is>
      </c>
      <c r="H48" s="3" t="inlineStr">
        <is>
          <t>Active</t>
        </is>
      </c>
      <c r="I48" s="3" t="inlineStr">
        <is>
          <t>Fungal Metabolite</t>
        </is>
      </c>
      <c r="J48" s="3" t="inlineStr">
        <is>
          <t>INR 2500-4000/kg; trending ingredient for Indian skin brightening</t>
        </is>
      </c>
      <c r="K48" s="3" t="inlineStr">
        <is>
          <t>Not in catalog - potential addition</t>
        </is>
      </c>
      <c r="L48" s="3" t="inlineStr">
        <is>
          <t>No</t>
        </is>
      </c>
      <c r="M48" s="3" t="inlineStr">
        <is>
          <t>No</t>
        </is>
      </c>
      <c r="N48" s="23" t="inlineStr">
        <is>
          <t>293299</t>
        </is>
      </c>
    </row>
    <row r="49" ht="15.75" customHeight="1" s="19">
      <c r="A49" s="3" t="n">
        <v>47</v>
      </c>
      <c r="B49" s="3" t="inlineStr">
        <is>
          <t>Piroctone Olamine</t>
        </is>
      </c>
      <c r="C49" s="3" t="inlineStr">
        <is>
          <t>68890-66-4</t>
        </is>
      </c>
      <c r="D49" s="3" t="inlineStr">
        <is>
          <t>Anti-Dandruff Active</t>
        </is>
      </c>
      <c r="E49" s="3" t="n">
        <v>90</v>
      </c>
      <c r="F49" s="3" t="inlineStr">
        <is>
          <t>Shampoo (anti-dandruff), scalp serums</t>
        </is>
      </c>
      <c r="G49" s="3" t="inlineStr">
        <is>
          <t>0.1-1%</t>
        </is>
      </c>
      <c r="H49" s="3" t="inlineStr">
        <is>
          <t>Active</t>
        </is>
      </c>
      <c r="I49" s="3" t="inlineStr">
        <is>
          <t>Hydroxamic Acid Antifungal</t>
        </is>
      </c>
      <c r="J49" s="3" t="inlineStr">
        <is>
          <t>INR 3000-5000/kg; Clariant (Octopirox); premium ZPTO alternative</t>
        </is>
      </c>
      <c r="K49" s="3" t="inlineStr">
        <is>
          <t>In Scimplify BPC - growing as ZPTO faces bans</t>
        </is>
      </c>
      <c r="L49" s="3" t="inlineStr">
        <is>
          <t>No</t>
        </is>
      </c>
      <c r="M49" s="3" t="inlineStr">
        <is>
          <t>Yes</t>
        </is>
      </c>
      <c r="N49" s="23" t="inlineStr">
        <is>
          <t>293299</t>
        </is>
      </c>
    </row>
    <row r="50" ht="15.75" customHeight="1" s="19">
      <c r="A50" s="3" t="n">
        <v>48</v>
      </c>
      <c r="B50" s="3" t="inlineStr">
        <is>
          <t>Trisodium Ascorbyl Phosphate</t>
        </is>
      </c>
      <c r="C50" s="3" t="inlineStr">
        <is>
          <t>66170-10-3</t>
        </is>
      </c>
      <c r="D50" s="3" t="inlineStr">
        <is>
          <t>Vitamin C Derivative</t>
        </is>
      </c>
      <c r="E50" s="3" t="n">
        <v>80</v>
      </c>
      <c r="F50" s="3" t="inlineStr">
        <is>
          <t>Serum, Moisturizer</t>
        </is>
      </c>
      <c r="G50" s="3" t="inlineStr">
        <is>
          <t>1-5%</t>
        </is>
      </c>
      <c r="H50" s="3" t="inlineStr">
        <is>
          <t>Active</t>
        </is>
      </c>
      <c r="I50" s="3" t="inlineStr">
        <is>
          <t>Stable Vitamin C Derivative</t>
        </is>
      </c>
      <c r="J50" s="3" t="inlineStr">
        <is>
          <t>INR 8,000-15,000/kg; premium stable Vit C form; limited suppliers</t>
        </is>
      </c>
      <c r="K50" s="3" t="inlineStr">
        <is>
          <t>In Scimplify BPC - high-value specialty active</t>
        </is>
      </c>
      <c r="L50" s="3" t="inlineStr">
        <is>
          <t>No</t>
        </is>
      </c>
      <c r="M50" s="3" t="inlineStr">
        <is>
          <t>Yes</t>
        </is>
      </c>
      <c r="N50" s="23" t="inlineStr">
        <is>
          <t>293621</t>
        </is>
      </c>
    </row>
    <row r="51" ht="15.75" customHeight="1" s="19">
      <c r="A51" s="3" t="n">
        <v>49</v>
      </c>
      <c r="B51" s="3" t="inlineStr">
        <is>
          <t>Phenylbenzimidazole Sulfonic Acid (PBSA)</t>
        </is>
      </c>
      <c r="C51" s="3" t="inlineStr">
        <is>
          <t>27503-81-7</t>
        </is>
      </c>
      <c r="D51" s="3" t="inlineStr">
        <is>
          <t>UV Filter (Water-soluble UVB)</t>
        </is>
      </c>
      <c r="E51" s="3" t="n">
        <v>80</v>
      </c>
      <c r="F51" s="3" t="inlineStr">
        <is>
          <t>Sunscreen (aqueous formulations)</t>
        </is>
      </c>
      <c r="G51" s="3" t="inlineStr">
        <is>
          <t>1-4%</t>
        </is>
      </c>
      <c r="H51" s="3" t="inlineStr">
        <is>
          <t>Active</t>
        </is>
      </c>
      <c r="I51" s="3" t="inlineStr">
        <is>
          <t>Organic UV Filter</t>
        </is>
      </c>
      <c r="J51" s="3" t="inlineStr">
        <is>
          <t>INR 2000-3000/kg; specialty UV filter for clear aqueous sunscreens</t>
        </is>
      </c>
      <c r="K51" s="3" t="inlineStr">
        <is>
          <t>In Scimplify BPC - niche UV filter</t>
        </is>
      </c>
      <c r="L51" s="3" t="inlineStr">
        <is>
          <t>No</t>
        </is>
      </c>
      <c r="M51" s="3" t="inlineStr">
        <is>
          <t>Yes</t>
        </is>
      </c>
      <c r="N51" s="23" t="inlineStr">
        <is>
          <t>293399</t>
        </is>
      </c>
    </row>
    <row r="52" ht="15.75" customHeight="1" s="19">
      <c r="A52" s="3" t="n">
        <v>50</v>
      </c>
      <c r="B52" s="3" t="inlineStr">
        <is>
          <t>Azelaic Acid</t>
        </is>
      </c>
      <c r="C52" s="3" t="inlineStr">
        <is>
          <t>123-99-9</t>
        </is>
      </c>
      <c r="D52" s="3" t="inlineStr">
        <is>
          <t>Anti-acne / Brightening</t>
        </is>
      </c>
      <c r="E52" s="3" t="n">
        <v>80</v>
      </c>
      <c r="F52" s="3" t="inlineStr">
        <is>
          <t>Serum, Moisturizer</t>
        </is>
      </c>
      <c r="G52" s="3" t="inlineStr">
        <is>
          <t>5-20%</t>
        </is>
      </c>
      <c r="H52" s="3" t="inlineStr">
        <is>
          <t>Active</t>
        </is>
      </c>
      <c r="I52" s="3" t="inlineStr">
        <is>
          <t>Dicarboxylic Acid</t>
        </is>
      </c>
      <c r="J52" s="3" t="inlineStr">
        <is>
          <t>INR 800-1200/kg; growing demand from dermatologist recommendations</t>
        </is>
      </c>
      <c r="K52" s="3" t="inlineStr">
        <is>
          <t>Not in catalog - potential addition</t>
        </is>
      </c>
      <c r="L52" s="3" t="inlineStr">
        <is>
          <t>No</t>
        </is>
      </c>
      <c r="M52" s="3" t="inlineStr">
        <is>
          <t>No</t>
        </is>
      </c>
      <c r="N52" s="23" t="inlineStr">
        <is>
          <t>291718</t>
        </is>
      </c>
    </row>
    <row r="53" ht="15.75" customHeight="1" s="19">
      <c r="A53" s="3" t="n">
        <v>51</v>
      </c>
      <c r="B53" s="3" t="inlineStr">
        <is>
          <t>Argan Oil</t>
        </is>
      </c>
      <c r="C53" s="3" t="inlineStr">
        <is>
          <t>223747-87-1</t>
        </is>
      </c>
      <c r="D53" s="3" t="inlineStr">
        <is>
          <t>Emollient / Conditioning</t>
        </is>
      </c>
      <c r="E53" s="3" t="n">
        <v>80</v>
      </c>
      <c r="F53" s="3" t="inlineStr">
        <is>
          <t>Hair Oil, Serum, Shampoo</t>
        </is>
      </c>
      <c r="G53" s="3" t="inlineStr">
        <is>
          <t>1-10%</t>
        </is>
      </c>
      <c r="H53" s="3" t="inlineStr">
        <is>
          <t>Active</t>
        </is>
      </c>
      <c r="I53" s="3" t="inlineStr">
        <is>
          <t>Specialty Vegetable Oil</t>
        </is>
      </c>
      <c r="J53" s="3" t="inlineStr">
        <is>
          <t>INR 3000-6000/kg; Morocco origin; premium positioning</t>
        </is>
      </c>
      <c r="K53" s="3" t="inlineStr">
        <is>
          <t>Moderate - premium niche, limited supply</t>
        </is>
      </c>
      <c r="L53" s="3" t="inlineStr">
        <is>
          <t>No</t>
        </is>
      </c>
      <c r="M53" s="3" t="inlineStr">
        <is>
          <t>No</t>
        </is>
      </c>
      <c r="N53" s="23" t="inlineStr">
        <is>
          <t>151590</t>
        </is>
      </c>
    </row>
    <row r="54" ht="15.75" customHeight="1" s="19">
      <c r="A54" s="3" t="n">
        <v>52</v>
      </c>
      <c r="B54" s="3" t="inlineStr">
        <is>
          <t>Dehydroacetic Acid</t>
        </is>
      </c>
      <c r="C54" s="3" t="inlineStr">
        <is>
          <t>520-45-6</t>
        </is>
      </c>
      <c r="D54" s="3" t="inlineStr">
        <is>
          <t>Preservative</t>
        </is>
      </c>
      <c r="E54" s="3" t="n">
        <v>80</v>
      </c>
      <c r="F54" s="3" t="inlineStr">
        <is>
          <t>Serum, Moisturizer, Face Wash</t>
        </is>
      </c>
      <c r="G54" s="3" t="inlineStr">
        <is>
          <t>0.1-0.6%</t>
        </is>
      </c>
      <c r="H54" s="3" t="inlineStr">
        <is>
          <t>Bulk</t>
        </is>
      </c>
      <c r="I54" s="3" t="inlineStr">
        <is>
          <t>Organic Acid Preservative</t>
        </is>
      </c>
      <c r="J54" s="3" t="inlineStr">
        <is>
          <t>INR 1200-1800/kg; used with benzyl alcohol for paraben-free systems</t>
        </is>
      </c>
      <c r="K54" s="3" t="inlineStr">
        <is>
          <t>In Scimplify BPC - growing preservative demand</t>
        </is>
      </c>
      <c r="L54" s="3" t="inlineStr">
        <is>
          <t>No</t>
        </is>
      </c>
      <c r="M54" s="3" t="inlineStr">
        <is>
          <t>Yes</t>
        </is>
      </c>
      <c r="N54" s="23" t="inlineStr">
        <is>
          <t>293299</t>
        </is>
      </c>
    </row>
    <row r="55" ht="15.75" customHeight="1" s="19">
      <c r="A55" s="3" t="n">
        <v>53</v>
      </c>
      <c r="B55" s="3" t="inlineStr">
        <is>
          <t>Bemotrizinol (Tinosorb S)</t>
        </is>
      </c>
      <c r="C55" s="3" t="inlineStr">
        <is>
          <t>187393-00-6</t>
        </is>
      </c>
      <c r="D55" s="3" t="inlineStr">
        <is>
          <t>UV Filter (Broad-spectrum)</t>
        </is>
      </c>
      <c r="E55" s="3" t="n">
        <v>70</v>
      </c>
      <c r="F55" s="3" t="inlineStr">
        <is>
          <t>Sunscreen (premium formulations)</t>
        </is>
      </c>
      <c r="G55" s="3" t="inlineStr">
        <is>
          <t>1-5%</t>
        </is>
      </c>
      <c r="H55" s="3" t="inlineStr">
        <is>
          <t>Active</t>
        </is>
      </c>
      <c r="I55" s="3" t="inlineStr">
        <is>
          <t>Triazine UV Filter</t>
        </is>
      </c>
      <c r="J55" s="3" t="inlineStr">
        <is>
          <t>INR 5000-8000/kg; BASF patented (Tinosorb S); premium photostable filter</t>
        </is>
      </c>
      <c r="K55" s="3" t="inlineStr">
        <is>
          <t>In Scimplify BPC - high-value specialty</t>
        </is>
      </c>
      <c r="L55" s="3" t="inlineStr">
        <is>
          <t>No</t>
        </is>
      </c>
      <c r="M55" s="3" t="inlineStr">
        <is>
          <t>Yes</t>
        </is>
      </c>
      <c r="N55" s="23" t="inlineStr">
        <is>
          <t>293490</t>
        </is>
      </c>
    </row>
    <row r="56" ht="15.75" customHeight="1" s="19">
      <c r="A56" s="3" t="n">
        <v>54</v>
      </c>
      <c r="B56" s="3" t="inlineStr">
        <is>
          <t>Capryl Hydroxamic Acid</t>
        </is>
      </c>
      <c r="C56" s="3" t="inlineStr">
        <is>
          <t>7377-03-9</t>
        </is>
      </c>
      <c r="D56" s="3" t="inlineStr">
        <is>
          <t>Preservative Booster / Chelator</t>
        </is>
      </c>
      <c r="E56" s="3" t="n">
        <v>70</v>
      </c>
      <c r="F56" s="3" t="inlineStr">
        <is>
          <t>Serum, Moisturizer, Toner</t>
        </is>
      </c>
      <c r="G56" s="3" t="inlineStr">
        <is>
          <t>0.2-0.5%</t>
        </is>
      </c>
      <c r="H56" s="3" t="inlineStr">
        <is>
          <t>Active</t>
        </is>
      </c>
      <c r="I56" s="3" t="inlineStr">
        <is>
          <t>Chelating Preservative Booster</t>
        </is>
      </c>
      <c r="J56" s="3" t="inlineStr">
        <is>
          <t>INR 4000-6000/kg; synergist with 1,2-alkanediols; paraben-free systems</t>
        </is>
      </c>
      <c r="K56" s="3" t="inlineStr">
        <is>
          <t>In Scimplify BPC - growing demand in clean beauty</t>
        </is>
      </c>
      <c r="L56" s="3" t="inlineStr">
        <is>
          <t>No</t>
        </is>
      </c>
      <c r="M56" s="3" t="inlineStr">
        <is>
          <t>Yes</t>
        </is>
      </c>
      <c r="N56" s="23" t="inlineStr">
        <is>
          <t>292990</t>
        </is>
      </c>
    </row>
    <row r="57" ht="15.75" customHeight="1" s="19">
      <c r="A57" s="3" t="n">
        <v>55</v>
      </c>
      <c r="B57" s="3" t="inlineStr">
        <is>
          <t>Ethylhexyl Triazone</t>
        </is>
      </c>
      <c r="C57" s="3" t="inlineStr">
        <is>
          <t>88122-99-0</t>
        </is>
      </c>
      <c r="D57" s="3" t="inlineStr">
        <is>
          <t>UV Filter (UVB)</t>
        </is>
      </c>
      <c r="E57" s="3" t="n">
        <v>60</v>
      </c>
      <c r="F57" s="3" t="inlineStr">
        <is>
          <t>Sunscreen (high-SPF formulations)</t>
        </is>
      </c>
      <c r="G57" s="3" t="inlineStr">
        <is>
          <t>1-5%</t>
        </is>
      </c>
      <c r="H57" s="3" t="inlineStr">
        <is>
          <t>Active</t>
        </is>
      </c>
      <c r="I57" s="3" t="inlineStr">
        <is>
          <t>Triazine UV Filter</t>
        </is>
      </c>
      <c r="J57" s="3" t="inlineStr">
        <is>
          <t>INR 3500-5500/kg; UVB booster; BASF supplier</t>
        </is>
      </c>
      <c r="K57" s="3" t="inlineStr">
        <is>
          <t>In Scimplify BPC - specialty UV filter</t>
        </is>
      </c>
      <c r="L57" s="3" t="inlineStr">
        <is>
          <t>No</t>
        </is>
      </c>
      <c r="M57" s="3" t="inlineStr">
        <is>
          <t>Yes</t>
        </is>
      </c>
      <c r="N57" s="23" t="inlineStr">
        <is>
          <t>293490</t>
        </is>
      </c>
    </row>
    <row r="58" ht="15.75" customHeight="1" s="19">
      <c r="A58" s="3" t="n">
        <v>56</v>
      </c>
      <c r="B58" s="3" t="inlineStr">
        <is>
          <t>Bisoctrizole (Tinosorb M)</t>
        </is>
      </c>
      <c r="C58" s="3" t="inlineStr">
        <is>
          <t>103597-45-1</t>
        </is>
      </c>
      <c r="D58" s="3" t="inlineStr">
        <is>
          <t>UV Filter (Broad-spectrum)</t>
        </is>
      </c>
      <c r="E58" s="3" t="n">
        <v>50</v>
      </c>
      <c r="F58" s="3" t="inlineStr">
        <is>
          <t>Sunscreen (premium mineral-organic hybrid)</t>
        </is>
      </c>
      <c r="G58" s="3" t="inlineStr">
        <is>
          <t>2-10%</t>
        </is>
      </c>
      <c r="H58" s="3" t="inlineStr">
        <is>
          <t>Active</t>
        </is>
      </c>
      <c r="I58" s="3" t="inlineStr">
        <is>
          <t>Triazine UV Filter</t>
        </is>
      </c>
      <c r="J58" s="3" t="inlineStr">
        <is>
          <t>INR 4000-7000/kg; particulate UV filter; BASF exclusive</t>
        </is>
      </c>
      <c r="K58" s="3" t="inlineStr">
        <is>
          <t>In Scimplify BPC - specialty UV filter</t>
        </is>
      </c>
      <c r="L58" s="3" t="inlineStr">
        <is>
          <t>No</t>
        </is>
      </c>
      <c r="M58" s="3" t="inlineStr">
        <is>
          <t>Yes</t>
        </is>
      </c>
      <c r="N58" s="23" t="inlineStr">
        <is>
          <t>293490</t>
        </is>
      </c>
    </row>
    <row r="59" ht="15.75" customHeight="1" s="19">
      <c r="A59" s="3" t="n">
        <v>57</v>
      </c>
      <c r="B59" s="3" t="inlineStr">
        <is>
          <t>Diethylamino Hydroxybenzoyl Hexyl Benzoate (DHHB)</t>
        </is>
      </c>
      <c r="C59" s="3" t="inlineStr">
        <is>
          <t>302776-68-7</t>
        </is>
      </c>
      <c r="D59" s="3" t="inlineStr">
        <is>
          <t>UV Filter (UVA)</t>
        </is>
      </c>
      <c r="E59" s="3" t="n">
        <v>50</v>
      </c>
      <c r="F59" s="3" t="inlineStr">
        <is>
          <t>Sunscreen (photostable UVA)</t>
        </is>
      </c>
      <c r="G59" s="3" t="inlineStr">
        <is>
          <t>1-5%</t>
        </is>
      </c>
      <c r="H59" s="3" t="inlineStr">
        <is>
          <t>Active</t>
        </is>
      </c>
      <c r="I59" s="3" t="inlineStr">
        <is>
          <t>Aminobenzoate UV Filter</t>
        </is>
      </c>
      <c r="J59" s="3" t="inlineStr">
        <is>
          <t>INR 6000-10,000/kg; next-gen UVA filter; BASF (Uvinul A Plus)</t>
        </is>
      </c>
      <c r="K59" s="3" t="inlineStr">
        <is>
          <t>In Scimplify BPC - high-value specialty</t>
        </is>
      </c>
      <c r="L59" s="3" t="inlineStr">
        <is>
          <t>No</t>
        </is>
      </c>
      <c r="M59" s="3" t="inlineStr">
        <is>
          <t>Yes</t>
        </is>
      </c>
      <c r="N59" s="23" t="inlineStr">
        <is>
          <t>292250</t>
        </is>
      </c>
    </row>
    <row r="60" ht="15.75" customHeight="1" s="19">
      <c r="A60" s="3" t="n">
        <v>58</v>
      </c>
      <c r="B60" s="3" t="inlineStr">
        <is>
          <t>Diethylhexyl Butamido Triazone (DHBT)</t>
        </is>
      </c>
      <c r="C60" s="3" t="inlineStr">
        <is>
          <t>154702-15-5</t>
        </is>
      </c>
      <c r="D60" s="3" t="inlineStr">
        <is>
          <t>UV Filter (UVB booster)</t>
        </is>
      </c>
      <c r="E60" s="3" t="n">
        <v>40</v>
      </c>
      <c r="F60" s="3" t="inlineStr">
        <is>
          <t>Sunscreen (very high SPF)</t>
        </is>
      </c>
      <c r="G60" s="3" t="inlineStr">
        <is>
          <t>1-5%</t>
        </is>
      </c>
      <c r="H60" s="3" t="inlineStr">
        <is>
          <t>Active</t>
        </is>
      </c>
      <c r="I60" s="3" t="inlineStr">
        <is>
          <t>Triazine UV Filter</t>
        </is>
      </c>
      <c r="J60" s="3" t="inlineStr">
        <is>
          <t>INR 4000-6000/kg; UVB booster for high-SPF formulations</t>
        </is>
      </c>
      <c r="K60" s="3" t="inlineStr">
        <is>
          <t>In Scimplify BPC - specialty UV filter</t>
        </is>
      </c>
      <c r="L60" s="3" t="inlineStr">
        <is>
          <t>No</t>
        </is>
      </c>
      <c r="M60" s="3" t="inlineStr">
        <is>
          <t>Yes</t>
        </is>
      </c>
      <c r="N60" s="23" t="inlineStr">
        <is>
          <t>293490</t>
        </is>
      </c>
    </row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style="19" min="1" max="1"/>
    <col width="45" customWidth="1" style="19" min="2" max="2"/>
    <col width="16" customWidth="1" style="19" min="3" max="3"/>
    <col width="28" customWidth="1" style="19" min="4" max="4"/>
    <col width="10" customWidth="1" style="19" min="5" max="5"/>
    <col width="50" customWidth="1" style="19" min="6" max="6"/>
    <col width="20" customWidth="1" style="19" min="7" max="7"/>
    <col width="12" customWidth="1" style="19" min="8" max="8"/>
    <col width="28" customWidth="1" style="19" min="9" max="9"/>
    <col width="60" customWidth="1" style="19" min="10" max="10"/>
    <col width="45" customWidth="1" style="19" min="11" max="11"/>
    <col width="18" customWidth="1" style="19" min="12" max="12"/>
    <col width="12" customWidth="1" style="19" min="13" max="13"/>
  </cols>
  <sheetData>
    <row r="1" ht="22" customHeight="1" s="19">
      <c r="A1" s="26" t="inlineStr">
        <is>
          <t>REVERSE ANALYSIS — Top Agricultural Chemicals × Trading Opportunity (India Market)</t>
        </is>
      </c>
    </row>
    <row r="2" ht="40" customHeight="1" s="19">
      <c r="A2" s="27" t="inlineStr">
        <is>
          <t>Methodology: Analyzed Scimplify catalog (49 agri items across Pesticides, Fertilizer, Biologicals, Feed) + researched top 20 Indian agri formulation brands (UPL, Syngenta, Bayer, BASF, PI Industries, Coromandel). ~45 chemicals ranked by market importance and trading opportunity.</t>
        </is>
      </c>
    </row>
    <row r="3" ht="30" customHeight="1" s="19">
      <c r="A3" s="28" t="inlineStr">
        <is>
          <t>Rank</t>
        </is>
      </c>
      <c r="B3" s="28" t="inlineStr">
        <is>
          <t>Chemical / Active Ingredient</t>
        </is>
      </c>
      <c r="C3" s="28" t="inlineStr">
        <is>
          <t>CAS Number</t>
        </is>
      </c>
      <c r="D3" s="28" t="inlineStr">
        <is>
          <t>Chemistry Type</t>
        </is>
      </c>
      <c r="E3" s="28" t="inlineStr">
        <is>
          <t>Market Importance (0-100)</t>
        </is>
      </c>
      <c r="F3" s="28" t="inlineStr">
        <is>
          <t>Product Categories</t>
        </is>
      </c>
      <c r="G3" s="28" t="inlineStr">
        <is>
          <t>Est. Concentration / Grade</t>
        </is>
      </c>
      <c r="H3" s="28" t="inlineStr">
        <is>
          <t>Classification</t>
        </is>
      </c>
      <c r="I3" s="28" t="inlineStr">
        <is>
          <t>Sub-Classification</t>
        </is>
      </c>
      <c r="J3" s="28" t="inlineStr">
        <is>
          <t>Recent Market Data (2024-2026)</t>
        </is>
      </c>
      <c r="K3" s="28" t="inlineStr">
        <is>
          <t>Trading Opportunity Assessment</t>
        </is>
      </c>
      <c r="L3" s="28" t="inlineStr">
        <is>
          <t>Related HSN Codes</t>
        </is>
      </c>
      <c r="M3" s="28" t="inlineStr">
        <is>
          <t>In Scimplify Catalog?</t>
        </is>
      </c>
    </row>
    <row r="4" ht="60" customHeight="1" s="19">
      <c r="A4" s="23" t="n">
        <v>1</v>
      </c>
      <c r="B4" s="23" t="inlineStr">
        <is>
          <t>Urea (Fertilizer Grade)</t>
        </is>
      </c>
      <c r="C4" s="23" t="inlineStr">
        <is>
          <t>57-13-6</t>
        </is>
      </c>
      <c r="D4" s="23" t="inlineStr">
        <is>
          <t>Nitrogenous Fertilizer</t>
        </is>
      </c>
      <c r="E4" s="23" t="n">
        <v>98</v>
      </c>
      <c r="F4" s="23" t="inlineStr">
        <is>
          <t>Fertilizer (all crops - primary N source)</t>
        </is>
      </c>
      <c r="G4" s="23" t="inlineStr">
        <is>
          <t>46% N content</t>
        </is>
      </c>
      <c r="H4" s="23" t="inlineStr">
        <is>
          <t>Bulk</t>
        </is>
      </c>
      <c r="I4" s="23" t="inlineStr">
        <is>
          <t>Amide Fertilizer</t>
        </is>
      </c>
      <c r="J4" s="23" t="inlineStr">
        <is>
          <t>India imports 8.9M MT (FY25-26); Price INR 5,360/MT (subsidy); Neem-coated mandatory; USD 795M Q1 2026 imports; 87% domestic production</t>
        </is>
      </c>
      <c r="K4" s="23" t="inlineStr">
        <is>
          <t>LOW margin — govt controlled, subsidy-dependent</t>
        </is>
      </c>
      <c r="L4" s="23" t="inlineStr">
        <is>
          <t>310210</t>
        </is>
      </c>
      <c r="M4" s="23" t="inlineStr">
        <is>
          <t>No</t>
        </is>
      </c>
    </row>
    <row r="5" ht="60" customHeight="1" s="19">
      <c r="A5" s="23" t="n">
        <v>2</v>
      </c>
      <c r="B5" s="23" t="inlineStr">
        <is>
          <t>Glyphosate (IPA salt / Technical)</t>
        </is>
      </c>
      <c r="C5" s="23" t="inlineStr">
        <is>
          <t>1071-83-6</t>
        </is>
      </c>
      <c r="D5" s="23" t="inlineStr">
        <is>
          <t>Non-selective Herbicide</t>
        </is>
      </c>
      <c r="E5" s="23" t="n">
        <v>95</v>
      </c>
      <c r="F5" s="23" t="inlineStr">
        <is>
          <t>Herbicide (field crops, plantation, non-crop)</t>
        </is>
      </c>
      <c r="G5" s="23" t="inlineStr">
        <is>
          <t>41-62% (SL/SC)</t>
        </is>
      </c>
      <c r="H5" s="23" t="inlineStr">
        <is>
          <t>Bulk</t>
        </is>
      </c>
      <c r="I5" s="23" t="inlineStr">
        <is>
          <t>Organophosphorus Herbicide</t>
        </is>
      </c>
      <c r="J5" s="23" t="inlineStr">
        <is>
          <t>India production ~100K MT/yr; Price INR 200-350/kg (tech); Exports USD 450M+ FY25; Top 3 India exports; Dhanuka, Excel, Bharat Rasayan major producers</t>
        </is>
      </c>
      <c r="K5" s="23" t="inlineStr">
        <is>
          <t>HIGH — massive volume, India is net exporter; price-sensitive commodity</t>
        </is>
      </c>
      <c r="L5" s="23" t="inlineStr">
        <is>
          <t>380891, 293190</t>
        </is>
      </c>
      <c r="M5" s="23" t="inlineStr">
        <is>
          <t>Yes</t>
        </is>
      </c>
    </row>
    <row r="6" ht="60" customHeight="1" s="19">
      <c r="A6" s="23" t="n">
        <v>3</v>
      </c>
      <c r="B6" s="23" t="inlineStr">
        <is>
          <t>DAP (Diammonium Phosphate)</t>
        </is>
      </c>
      <c r="C6" s="23" t="inlineStr">
        <is>
          <t>7783-28-0</t>
        </is>
      </c>
      <c r="D6" s="23" t="inlineStr">
        <is>
          <t>Phosphatic Fertilizer</t>
        </is>
      </c>
      <c r="E6" s="23" t="n">
        <v>95</v>
      </c>
      <c r="F6" s="23" t="inlineStr">
        <is>
          <t>Fertilizer (all crops - P&amp;N source)</t>
        </is>
      </c>
      <c r="G6" s="23" t="inlineStr">
        <is>
          <t>18-46-0 NPK</t>
        </is>
      </c>
      <c r="H6" s="23" t="inlineStr">
        <is>
          <t>Bulk</t>
        </is>
      </c>
      <c r="I6" s="23" t="inlineStr">
        <is>
          <t>Ammonium Phosphate</t>
        </is>
      </c>
      <c r="J6" s="23" t="inlineStr">
        <is>
          <t>India imports 6M MT FY25-26 (+40% YoY); Price INR 27,000/MT (MRP); only 40% domestic; Saudi Arabia, China major sources</t>
        </is>
      </c>
      <c r="K6" s="23" t="inlineStr">
        <is>
          <t>LOW margin — govt controlled, massive import volume</t>
        </is>
      </c>
      <c r="L6" s="23" t="inlineStr">
        <is>
          <t>310530</t>
        </is>
      </c>
      <c r="M6" s="23" t="inlineStr">
        <is>
          <t>No</t>
        </is>
      </c>
    </row>
    <row r="7" ht="60" customHeight="1" s="19">
      <c r="A7" s="23" t="n">
        <v>4</v>
      </c>
      <c r="B7" s="23" t="inlineStr">
        <is>
          <t>MOP (Muriate of Potash / KCl)</t>
        </is>
      </c>
      <c r="C7" s="23" t="inlineStr">
        <is>
          <t>7447-40-7</t>
        </is>
      </c>
      <c r="D7" s="23" t="inlineStr">
        <is>
          <t>Potassic Fertilizer</t>
        </is>
      </c>
      <c r="E7" s="23" t="n">
        <v>92</v>
      </c>
      <c r="F7" s="23" t="inlineStr">
        <is>
          <t>Fertilizer (all crops - K source)</t>
        </is>
      </c>
      <c r="G7" s="23" t="inlineStr">
        <is>
          <t>60% K2O</t>
        </is>
      </c>
      <c r="H7" s="23" t="inlineStr">
        <is>
          <t>Bulk</t>
        </is>
      </c>
      <c r="I7" s="23" t="inlineStr">
        <is>
          <t>Potassium Chloride</t>
        </is>
      </c>
      <c r="J7" s="23" t="inlineStr">
        <is>
          <t>India 100% import-dependent; USD 252M Q1 2026 imports; 4-5M MT/yr; Canada, Belarus, Russia sources; Price INR 16,500-17,500/MT</t>
        </is>
      </c>
      <c r="K7" s="23" t="inlineStr">
        <is>
          <t>COMMODITY — 100% imported, govt managed</t>
        </is>
      </c>
      <c r="L7" s="23" t="inlineStr">
        <is>
          <t>310420</t>
        </is>
      </c>
      <c r="M7" s="23" t="inlineStr">
        <is>
          <t>Yes</t>
        </is>
      </c>
    </row>
    <row r="8" ht="60" customHeight="1" s="19">
      <c r="A8" s="23" t="n">
        <v>5</v>
      </c>
      <c r="B8" s="23" t="inlineStr">
        <is>
          <t>Chlorantraniliprole (CTPR / Rynaxypyr)</t>
        </is>
      </c>
      <c r="C8" s="23" t="inlineStr">
        <is>
          <t>500008-45-7</t>
        </is>
      </c>
      <c r="D8" s="23" t="inlineStr">
        <is>
          <t>Diamide Insecticide</t>
        </is>
      </c>
      <c r="E8" s="23" t="n">
        <v>90</v>
      </c>
      <c r="F8" s="23" t="inlineStr">
        <is>
          <t>Insecticide (rice, vegetables, cotton)</t>
        </is>
      </c>
      <c r="G8" s="23" t="inlineStr">
        <is>
          <t>0.4-18.5% (SC/GR/SE)</t>
        </is>
      </c>
      <c r="H8" s="23" t="inlineStr">
        <is>
          <t>Active</t>
        </is>
      </c>
      <c r="I8" s="23" t="inlineStr">
        <is>
          <t>Anthranilic Diamide</t>
        </is>
      </c>
      <c r="J8" s="23" t="inlineStr">
        <is>
          <t>FMC patented (expiring 2026-27); Price INR 8,000-12,000/kg tech; India consumption ~3K MT/yr; fastest-growing AI segment; generic entry imminent</t>
        </is>
      </c>
      <c r="K8" s="23" t="inlineStr">
        <is>
          <t>VERY HIGH — patent cliff creating massive generic opportunity</t>
        </is>
      </c>
      <c r="L8" s="23" t="inlineStr">
        <is>
          <t>380892, 293499</t>
        </is>
      </c>
      <c r="M8" s="23" t="inlineStr">
        <is>
          <t>Yes</t>
        </is>
      </c>
    </row>
    <row r="9" ht="60" customHeight="1" s="19">
      <c r="A9" s="23" t="n">
        <v>6</v>
      </c>
      <c r="B9" s="23" t="inlineStr">
        <is>
          <t>Imidacloprid</t>
        </is>
      </c>
      <c r="C9" s="23" t="inlineStr">
        <is>
          <t>138261-41-3</t>
        </is>
      </c>
      <c r="D9" s="23" t="inlineStr">
        <is>
          <t>Neonicotinoid Insecticide</t>
        </is>
      </c>
      <c r="E9" s="23" t="n">
        <v>88</v>
      </c>
      <c r="F9" s="23" t="inlineStr">
        <is>
          <t>Insecticide (cotton, rice, vegetables, seed treatment)</t>
        </is>
      </c>
      <c r="G9" s="23" t="inlineStr">
        <is>
          <t>17.8-70% (SL/SC/FS)</t>
        </is>
      </c>
      <c r="H9" s="23" t="inlineStr">
        <is>
          <t>Active</t>
        </is>
      </c>
      <c r="I9" s="23" t="inlineStr">
        <is>
          <t>Neonicotinoid</t>
        </is>
      </c>
      <c r="J9" s="23" t="inlineStr">
        <is>
          <t>India production ~10K MT/yr; Price INR 1,200-2,000/kg tech; EU banned (outdoor use) but India allows; Bayer original, now generic</t>
        </is>
      </c>
      <c r="K9" s="23" t="inlineStr">
        <is>
          <t>MODERATE — regulatory risk in export markets but strong India demand</t>
        </is>
      </c>
      <c r="L9" s="23" t="inlineStr">
        <is>
          <t>380892, 293399</t>
        </is>
      </c>
      <c r="M9" s="23" t="inlineStr">
        <is>
          <t>Yes (implied)</t>
        </is>
      </c>
    </row>
    <row r="10" ht="60" customHeight="1" s="19">
      <c r="A10" s="23" t="n">
        <v>7</v>
      </c>
      <c r="B10" s="23" t="inlineStr">
        <is>
          <t>NPK Complex Fertilizer</t>
        </is>
      </c>
      <c r="C10" s="23" t="inlineStr">
        <is>
          <t>—</t>
        </is>
      </c>
      <c r="D10" s="23" t="inlineStr">
        <is>
          <t>Complex Fertilizer</t>
        </is>
      </c>
      <c r="E10" s="23" t="n">
        <v>88</v>
      </c>
      <c r="F10" s="23" t="inlineStr">
        <is>
          <t>Fertilizer (balanced nutrition)</t>
        </is>
      </c>
      <c r="G10" s="23" t="inlineStr">
        <is>
          <t>10:26:26, 15:15:15, 19:19:19 grades</t>
        </is>
      </c>
      <c r="H10" s="23" t="inlineStr">
        <is>
          <t>Bulk</t>
        </is>
      </c>
      <c r="I10" s="23" t="inlineStr">
        <is>
          <t>Compound Fertilizer</t>
        </is>
      </c>
      <c r="J10" s="23" t="inlineStr">
        <is>
          <t>India imports surged 103% to 3.48M MT FY25-26; NPK 19:19:19 (WSF) INR 50-70/kg; Coromandel, IFFCO major producers</t>
        </is>
      </c>
      <c r="K10" s="23" t="inlineStr">
        <is>
          <t>MODERATE — WSF grades (19:19:19) have better margins than granular</t>
        </is>
      </c>
      <c r="L10" s="23" t="inlineStr">
        <is>
          <t>310520, 310590</t>
        </is>
      </c>
      <c r="M10" s="23" t="inlineStr">
        <is>
          <t>Yes</t>
        </is>
      </c>
    </row>
    <row r="11" ht="60" customHeight="1" s="19">
      <c r="A11" s="23" t="n">
        <v>8</v>
      </c>
      <c r="B11" s="23" t="inlineStr">
        <is>
          <t>Cypermethrin (Alpha / Zeta)</t>
        </is>
      </c>
      <c r="C11" s="23" t="inlineStr">
        <is>
          <t>52315-07-8</t>
        </is>
      </c>
      <c r="D11" s="23" t="inlineStr">
        <is>
          <t>Pyrethroid Insecticide</t>
        </is>
      </c>
      <c r="E11" s="23" t="n">
        <v>85</v>
      </c>
      <c r="F11" s="23" t="inlineStr">
        <is>
          <t>Insecticide (cotton, vegetables, public health)</t>
        </is>
      </c>
      <c r="G11" s="23" t="inlineStr">
        <is>
          <t>10-25% (EC)</t>
        </is>
      </c>
      <c r="H11" s="23" t="inlineStr">
        <is>
          <t>Bulk</t>
        </is>
      </c>
      <c r="I11" s="23" t="inlineStr">
        <is>
          <t>Synthetic Pyrethroid</t>
        </is>
      </c>
      <c r="J11" s="23" t="inlineStr">
        <is>
          <t>India production ~15K MT/yr; Price INR 400-600/kg tech; Alphacypermethrin top exported AI from India Oct 2025; mature commodity</t>
        </is>
      </c>
      <c r="K11" s="23" t="inlineStr">
        <is>
          <t>HIGH — India #1 exporter globally; stable demand</t>
        </is>
      </c>
      <c r="L11" s="23" t="inlineStr">
        <is>
          <t>380892, 293919</t>
        </is>
      </c>
      <c r="M11" s="23" t="inlineStr">
        <is>
          <t>Yes</t>
        </is>
      </c>
    </row>
    <row r="12" ht="60" customHeight="1" s="19">
      <c r="A12" s="23" t="n">
        <v>9</v>
      </c>
      <c r="B12" s="23" t="inlineStr">
        <is>
          <t>Mancozeb</t>
        </is>
      </c>
      <c r="C12" s="23" t="inlineStr">
        <is>
          <t>8018-01-7</t>
        </is>
      </c>
      <c r="D12" s="23" t="inlineStr">
        <is>
          <t>Dithiocarbamate Fungicide</t>
        </is>
      </c>
      <c r="E12" s="23" t="n">
        <v>82</v>
      </c>
      <c r="F12" s="23" t="inlineStr">
        <is>
          <t>Fungicide (broad-spectrum, all crops)</t>
        </is>
      </c>
      <c r="G12" s="23" t="inlineStr">
        <is>
          <t>35-75% (WP/WG)</t>
        </is>
      </c>
      <c r="H12" s="23" t="inlineStr">
        <is>
          <t>Bulk</t>
        </is>
      </c>
      <c r="I12" s="23" t="inlineStr">
        <is>
          <t>Organosulfur Fungicide</t>
        </is>
      </c>
      <c r="J12" s="23" t="inlineStr">
        <is>
          <t>India production ~60K MT/yr; Price INR 200-350/kg tech; EU withdrawal 2021 but major use in India/LatAm; UPL dominant</t>
        </is>
      </c>
      <c r="K12" s="23" t="inlineStr">
        <is>
          <t>MODERATE — EU banned, but India/LatAm volumes strong</t>
        </is>
      </c>
      <c r="L12" s="23" t="inlineStr">
        <is>
          <t>380892, 293020</t>
        </is>
      </c>
      <c r="M12" s="23" t="inlineStr">
        <is>
          <t>Yes</t>
        </is>
      </c>
    </row>
    <row r="13" ht="60" customHeight="1" s="19">
      <c r="A13" s="23" t="n">
        <v>10</v>
      </c>
      <c r="B13" s="23" t="inlineStr">
        <is>
          <t>2,4-D (Amine Salt / Ester)</t>
        </is>
      </c>
      <c r="C13" s="23" t="inlineStr">
        <is>
          <t>94-75-7</t>
        </is>
      </c>
      <c r="D13" s="23" t="inlineStr">
        <is>
          <t>Selective Herbicide</t>
        </is>
      </c>
      <c r="E13" s="23" t="n">
        <v>80</v>
      </c>
      <c r="F13" s="23" t="inlineStr">
        <is>
          <t>Herbicide (wheat, rice, sugarcane)</t>
        </is>
      </c>
      <c r="G13" s="23" t="inlineStr">
        <is>
          <t>38-86% (SL/EC)</t>
        </is>
      </c>
      <c r="H13" s="23" t="inlineStr">
        <is>
          <t>Bulk</t>
        </is>
      </c>
      <c r="I13" s="23" t="inlineStr">
        <is>
          <t>Phenoxy Herbicide</t>
        </is>
      </c>
      <c r="J13" s="23" t="inlineStr">
        <is>
          <t>India production ~25K MT/yr; Price INR 150-250/kg tech; #2 most exported AI from India; low cost commodity</t>
        </is>
      </c>
      <c r="K13" s="23" t="inlineStr">
        <is>
          <t>HIGH — massive commodity volume, India net exporter</t>
        </is>
      </c>
      <c r="L13" s="23" t="inlineStr">
        <is>
          <t>380891, 291890</t>
        </is>
      </c>
      <c r="M13" s="23" t="inlineStr">
        <is>
          <t>No</t>
        </is>
      </c>
    </row>
    <row r="14" ht="60" customHeight="1" s="19">
      <c r="A14" s="23" t="n">
        <v>11</v>
      </c>
      <c r="B14" s="23" t="inlineStr">
        <is>
          <t>Thiamethoxam</t>
        </is>
      </c>
      <c r="C14" s="23" t="inlineStr">
        <is>
          <t>153719-23-4</t>
        </is>
      </c>
      <c r="D14" s="23" t="inlineStr">
        <is>
          <t>Neonicotinoid Insecticide</t>
        </is>
      </c>
      <c r="E14" s="23" t="n">
        <v>78</v>
      </c>
      <c r="F14" s="23" t="inlineStr">
        <is>
          <t>Insecticide (rice, cotton, vegetables, seed treatment)</t>
        </is>
      </c>
      <c r="G14" s="23" t="inlineStr">
        <is>
          <t>12.6-70% (FS/WG/SC)</t>
        </is>
      </c>
      <c r="H14" s="23" t="inlineStr">
        <is>
          <t>Active</t>
        </is>
      </c>
      <c r="I14" s="23" t="inlineStr">
        <is>
          <t>Neonicotinoid</t>
        </is>
      </c>
      <c r="J14" s="23" t="inlineStr">
        <is>
          <t>Price INR 2,000-3,500/kg tech; Syngenta original; EU outdoor ban; India major market; generic production growing</t>
        </is>
      </c>
      <c r="K14" s="23" t="inlineStr">
        <is>
          <t>MODERATE — similar regulatory risk as imidacloprid</t>
        </is>
      </c>
      <c r="L14" s="23" t="inlineStr">
        <is>
          <t>380892, 293399</t>
        </is>
      </c>
      <c r="M14" s="23" t="inlineStr">
        <is>
          <t>No</t>
        </is>
      </c>
    </row>
    <row r="15" ht="60" customHeight="1" s="19">
      <c r="A15" s="23" t="n">
        <v>12</v>
      </c>
      <c r="B15" s="23" t="inlineStr">
        <is>
          <t>Acephate</t>
        </is>
      </c>
      <c r="C15" s="23" t="inlineStr">
        <is>
          <t>30560-19-1</t>
        </is>
      </c>
      <c r="D15" s="23" t="inlineStr">
        <is>
          <t>Organophosphate Insecticide</t>
        </is>
      </c>
      <c r="E15" s="23" t="n">
        <v>76</v>
      </c>
      <c r="F15" s="23" t="inlineStr">
        <is>
          <t>Insecticide (cotton, soybean, vegetables)</t>
        </is>
      </c>
      <c r="G15" s="23" t="inlineStr">
        <is>
          <t>50-75% (SP/WP)</t>
        </is>
      </c>
      <c r="H15" s="23" t="inlineStr">
        <is>
          <t>Bulk</t>
        </is>
      </c>
      <c r="I15" s="23" t="inlineStr">
        <is>
          <t>Organophosphate</t>
        </is>
      </c>
      <c r="J15" s="23" t="inlineStr">
        <is>
          <t>India production ~20K MT/yr; Price INR 250-400/kg tech; mature AI; Atul, Gharda major producers</t>
        </is>
      </c>
      <c r="K15" s="23" t="inlineStr">
        <is>
          <t>MODERATE — commodity, declining in some markets</t>
        </is>
      </c>
      <c r="L15" s="23" t="inlineStr">
        <is>
          <t>380892, 293090</t>
        </is>
      </c>
      <c r="M15" s="23" t="inlineStr">
        <is>
          <t>Yes</t>
        </is>
      </c>
    </row>
    <row r="16" ht="60" customHeight="1" s="19">
      <c r="A16" s="23" t="n">
        <v>13</v>
      </c>
      <c r="B16" s="23" t="inlineStr">
        <is>
          <t>Lambda-Cyhalothrin</t>
        </is>
      </c>
      <c r="C16" s="23" t="inlineStr">
        <is>
          <t>91465-08-6</t>
        </is>
      </c>
      <c r="D16" s="23" t="inlineStr">
        <is>
          <t>Pyrethroid Insecticide</t>
        </is>
      </c>
      <c r="E16" s="23" t="n">
        <v>75</v>
      </c>
      <c r="F16" s="23" t="inlineStr">
        <is>
          <t>Insecticide (cotton, vegetables, public health)</t>
        </is>
      </c>
      <c r="G16" s="23" t="inlineStr">
        <is>
          <t>2.5-10% (CS/EC)</t>
        </is>
      </c>
      <c r="H16" s="23" t="inlineStr">
        <is>
          <t>Active</t>
        </is>
      </c>
      <c r="I16" s="23" t="inlineStr">
        <is>
          <t>Synthetic Pyrethroid</t>
        </is>
      </c>
      <c r="J16" s="23" t="inlineStr">
        <is>
          <t>Price INR 1,500-2,500/kg tech; #3 most exported AI from India; Syngenta original; used in combination products</t>
        </is>
      </c>
      <c r="K16" s="23" t="inlineStr">
        <is>
          <t>HIGH — strong export demand, India major producer</t>
        </is>
      </c>
      <c r="L16" s="23" t="inlineStr">
        <is>
          <t>380892, 293919</t>
        </is>
      </c>
      <c r="M16" s="23" t="inlineStr">
        <is>
          <t>No</t>
        </is>
      </c>
    </row>
    <row r="17" ht="60" customHeight="1" s="19">
      <c r="A17" s="23" t="n">
        <v>14</v>
      </c>
      <c r="B17" s="23" t="inlineStr">
        <is>
          <t>SSP (Single Super Phosphate)</t>
        </is>
      </c>
      <c r="C17" s="23" t="inlineStr">
        <is>
          <t>—</t>
        </is>
      </c>
      <c r="D17" s="23" t="inlineStr">
        <is>
          <t>Phosphatic Fertilizer</t>
        </is>
      </c>
      <c r="E17" s="23" t="n">
        <v>75</v>
      </c>
      <c r="F17" s="23" t="inlineStr">
        <is>
          <t>Fertilizer (P source for acid soils)</t>
        </is>
      </c>
      <c r="G17" s="23" t="inlineStr">
        <is>
          <t>0-16-0 + 11% S</t>
        </is>
      </c>
      <c r="H17" s="23" t="inlineStr">
        <is>
          <t>Bulk</t>
        </is>
      </c>
      <c r="I17" s="23" t="inlineStr">
        <is>
          <t>Superphosphate</t>
        </is>
      </c>
      <c r="J17" s="23" t="inlineStr">
        <is>
          <t>India production ~5.5M MT/yr; Price INR 5,350/bag (50kg); raw material: rock phosphate (imported from Togo 1.1M MT)</t>
        </is>
      </c>
      <c r="K17" s="23" t="inlineStr">
        <is>
          <t>LOW — domestic production covers demand</t>
        </is>
      </c>
      <c r="L17" s="23" t="inlineStr">
        <is>
          <t>310310</t>
        </is>
      </c>
      <c r="M17" s="23" t="inlineStr">
        <is>
          <t>No</t>
        </is>
      </c>
    </row>
    <row r="18" ht="60" customHeight="1" s="19">
      <c r="A18" s="23" t="n">
        <v>15</v>
      </c>
      <c r="B18" s="23" t="inlineStr">
        <is>
          <t>Fipronil</t>
        </is>
      </c>
      <c r="C18" s="23" t="inlineStr">
        <is>
          <t>120068-37-3</t>
        </is>
      </c>
      <c r="D18" s="23" t="inlineStr">
        <is>
          <t>Phenylpyrazole Insecticide</t>
        </is>
      </c>
      <c r="E18" s="23" t="n">
        <v>72</v>
      </c>
      <c r="F18" s="23" t="inlineStr">
        <is>
          <t>Insecticide (rice, sugarcane, seed treatment, vet)</t>
        </is>
      </c>
      <c r="G18" s="23" t="inlineStr">
        <is>
          <t>0.3-5% (GR/SC/FS)</t>
        </is>
      </c>
      <c r="H18" s="23" t="inlineStr">
        <is>
          <t>Active</t>
        </is>
      </c>
      <c r="I18" s="23" t="inlineStr">
        <is>
          <t>Phenylpyrazole</t>
        </is>
      </c>
      <c r="J18" s="23" t="inlineStr">
        <is>
          <t>Price INR 3,000-5,000/kg tech; Bayer/BASF original; EU restricted; India + Brazil strong demand; contamination scandals in EU</t>
        </is>
      </c>
      <c r="K18" s="23" t="inlineStr">
        <is>
          <t>HIGH — premium pricing, growing in India</t>
        </is>
      </c>
      <c r="L18" s="23" t="inlineStr">
        <is>
          <t>380892, 293319</t>
        </is>
      </c>
      <c r="M18" s="23" t="inlineStr">
        <is>
          <t>Yes</t>
        </is>
      </c>
    </row>
    <row r="19" ht="60" customHeight="1" s="19">
      <c r="A19" s="23" t="n">
        <v>16</v>
      </c>
      <c r="B19" s="23" t="inlineStr">
        <is>
          <t>Emamectin Benzoate</t>
        </is>
      </c>
      <c r="C19" s="23" t="inlineStr">
        <is>
          <t>155569-91-8</t>
        </is>
      </c>
      <c r="D19" s="23" t="inlineStr">
        <is>
          <t>Semi-synthetic Avermectin</t>
        </is>
      </c>
      <c r="E19" s="23" t="n">
        <v>70</v>
      </c>
      <c r="F19" s="23" t="inlineStr">
        <is>
          <t>Insecticide (lepidoptera, thrips in vegetables, cotton)</t>
        </is>
      </c>
      <c r="G19" s="23" t="inlineStr">
        <is>
          <t>1.5-5% (SG/EC)</t>
        </is>
      </c>
      <c r="H19" s="23" t="inlineStr">
        <is>
          <t>Active</t>
        </is>
      </c>
      <c r="I19" s="23" t="inlineStr">
        <is>
          <t>Macrocyclic Lactone</t>
        </is>
      </c>
      <c r="J19" s="23" t="inlineStr">
        <is>
          <t>Price INR 4,000-7,000/kg tech; Syngenta original; top insecticide for vegetable IPM; India generic production strong</t>
        </is>
      </c>
      <c r="K19" s="23" t="inlineStr">
        <is>
          <t>HIGH — premium segment, growing with IPM adoption</t>
        </is>
      </c>
      <c r="L19" s="23" t="inlineStr">
        <is>
          <t>380892, 293229</t>
        </is>
      </c>
      <c r="M19" s="23" t="inlineStr">
        <is>
          <t>Yes</t>
        </is>
      </c>
    </row>
    <row r="20" ht="60" customHeight="1" s="19">
      <c r="A20" s="23" t="n">
        <v>17</v>
      </c>
      <c r="B20" s="23" t="inlineStr">
        <is>
          <t>Rock Phosphate</t>
        </is>
      </c>
      <c r="C20" s="23" t="inlineStr">
        <is>
          <t>—</t>
        </is>
      </c>
      <c r="D20" s="23" t="inlineStr">
        <is>
          <t>Raw Material</t>
        </is>
      </c>
      <c r="E20" s="23" t="n">
        <v>70</v>
      </c>
      <c r="F20" s="23" t="inlineStr">
        <is>
          <t>Fertilizer manufacturing (phosphoric acid, SSP, DAP)</t>
        </is>
      </c>
      <c r="G20" s="23" t="inlineStr">
        <is>
          <t>P2O5 28-34%</t>
        </is>
      </c>
      <c r="H20" s="23" t="inlineStr">
        <is>
          <t>Bulk</t>
        </is>
      </c>
      <c r="I20" s="23" t="inlineStr">
        <is>
          <t>Mineral Phosphate</t>
        </is>
      </c>
      <c r="J20" s="23" t="inlineStr">
        <is>
          <t>India imports ~6M MT/yr; Togo, Morocco, Egypt sources; Price USD 90-120/MT FOB; Rajasthan Phosphate Ltd domestic mining</t>
        </is>
      </c>
      <c r="K20" s="23" t="inlineStr">
        <is>
          <t>COMMODITY import — essential raw material</t>
        </is>
      </c>
      <c r="L20" s="23" t="inlineStr">
        <is>
          <t>252010</t>
        </is>
      </c>
      <c r="M20" s="23" t="inlineStr">
        <is>
          <t>Yes</t>
        </is>
      </c>
    </row>
    <row r="21" ht="60" customHeight="1" s="19">
      <c r="A21" s="23" t="n">
        <v>18</v>
      </c>
      <c r="B21" s="23" t="inlineStr">
        <is>
          <t>Nonionic Surfactant (NP/OP Ethoxylates)</t>
        </is>
      </c>
      <c r="C21" s="23" t="inlineStr">
        <is>
          <t>—</t>
        </is>
      </c>
      <c r="D21" s="23" t="inlineStr">
        <is>
          <t>Adjuvant / Emulsifier</t>
        </is>
      </c>
      <c r="E21" s="23" t="n">
        <v>70</v>
      </c>
      <c r="F21" s="23" t="inlineStr">
        <is>
          <t>Agrochemical formulation (wetting, spreading, emulsification)</t>
        </is>
      </c>
      <c r="G21" s="23" t="inlineStr">
        <is>
          <t>2-10% in formulation</t>
        </is>
      </c>
      <c r="H21" s="23" t="inlineStr">
        <is>
          <t>Bulk</t>
        </is>
      </c>
      <c r="I21" s="23" t="inlineStr">
        <is>
          <t>Ethoxylated Surfactant</t>
        </is>
      </c>
      <c r="J21" s="23" t="inlineStr">
        <is>
          <t>INR 80-150/kg; critical for EC/SC/SL formulations; Indovinya, Galaxy major; NP ethoxylates under regulatory pressure</t>
        </is>
      </c>
      <c r="K21" s="23" t="inlineStr">
        <is>
          <t>MODERATE — essential formulation ingredient</t>
        </is>
      </c>
      <c r="L21" s="23" t="inlineStr">
        <is>
          <t>340219, 340290</t>
        </is>
      </c>
      <c r="M21" s="23" t="inlineStr">
        <is>
          <t>No</t>
        </is>
      </c>
    </row>
    <row r="22" ht="60" customHeight="1" s="19">
      <c r="A22" s="23" t="n">
        <v>19</v>
      </c>
      <c r="B22" s="23" t="inlineStr">
        <is>
          <t>Azoxystrobin</t>
        </is>
      </c>
      <c r="C22" s="23" t="inlineStr">
        <is>
          <t>131860-33-8</t>
        </is>
      </c>
      <c r="D22" s="23" t="inlineStr">
        <is>
          <t>Strobilurin Fungicide</t>
        </is>
      </c>
      <c r="E22" s="23" t="n">
        <v>68</v>
      </c>
      <c r="F22" s="23" t="inlineStr">
        <is>
          <t>Fungicide (rice, wheat, vegetables, turf)</t>
        </is>
      </c>
      <c r="G22" s="23" t="inlineStr">
        <is>
          <t>11-25% (SC)</t>
        </is>
      </c>
      <c r="H22" s="23" t="inlineStr">
        <is>
          <t>Active</t>
        </is>
      </c>
      <c r="I22" s="23" t="inlineStr">
        <is>
          <t>Strobilurin</t>
        </is>
      </c>
      <c r="J22" s="23" t="inlineStr">
        <is>
          <t>Price INR 2,500-4,000/kg tech; Syngenta original (Amistar); #1 fungicide globally; broad-spectrum</t>
        </is>
      </c>
      <c r="K22" s="23" t="inlineStr">
        <is>
          <t>HIGH — premium fungicide, growing market share</t>
        </is>
      </c>
      <c r="L22" s="23" t="inlineStr">
        <is>
          <t>380892, 293490</t>
        </is>
      </c>
      <c r="M22" s="23" t="inlineStr">
        <is>
          <t>Yes</t>
        </is>
      </c>
    </row>
    <row r="23" ht="60" customHeight="1" s="19">
      <c r="A23" s="23" t="n">
        <v>20</v>
      </c>
      <c r="B23" s="23" t="inlineStr">
        <is>
          <t>Glufosinate Ammonium</t>
        </is>
      </c>
      <c r="C23" s="23" t="inlineStr">
        <is>
          <t>77182-82-2</t>
        </is>
      </c>
      <c r="D23" s="23" t="inlineStr">
        <is>
          <t>Non-selective Herbicide</t>
        </is>
      </c>
      <c r="E23" s="23" t="n">
        <v>65</v>
      </c>
      <c r="F23" s="23" t="inlineStr">
        <is>
          <t>Herbicide (non-crop, GM crop tolerance)</t>
        </is>
      </c>
      <c r="G23" s="23" t="inlineStr">
        <is>
          <t>13.5-15% (SL)</t>
        </is>
      </c>
      <c r="H23" s="23" t="inlineStr">
        <is>
          <t>Bulk</t>
        </is>
      </c>
      <c r="I23" s="23" t="inlineStr">
        <is>
          <t>Amino Acid Herbicide</t>
        </is>
      </c>
      <c r="J23" s="23" t="inlineStr">
        <is>
          <t>Price INR 500-800/kg tech; Bayer original; glyphosate alternative; India exports growing; #4 most exported AI</t>
        </is>
      </c>
      <c r="K23" s="23" t="inlineStr">
        <is>
          <t>HIGH — growing as glyphosate alternative</t>
        </is>
      </c>
      <c r="L23" s="23" t="inlineStr">
        <is>
          <t>380891, 292249</t>
        </is>
      </c>
      <c r="M23" s="23" t="inlineStr">
        <is>
          <t>Yes</t>
        </is>
      </c>
    </row>
    <row r="24" ht="60" customHeight="1" s="19">
      <c r="A24" s="23" t="n">
        <v>21</v>
      </c>
      <c r="B24" s="23" t="inlineStr">
        <is>
          <t>Zinc Sulphate (Agri Grade)</t>
        </is>
      </c>
      <c r="C24" s="23" t="inlineStr">
        <is>
          <t>7733-02-0</t>
        </is>
      </c>
      <c r="D24" s="23" t="inlineStr">
        <is>
          <t>Micronutrient Fertilizer</t>
        </is>
      </c>
      <c r="E24" s="23" t="n">
        <v>65</v>
      </c>
      <c r="F24" s="23" t="inlineStr">
        <is>
          <t>Fertilizer (zinc deficiency in rice, wheat)</t>
        </is>
      </c>
      <c r="G24" s="23" t="inlineStr">
        <is>
          <t>21-33% Zn</t>
        </is>
      </c>
      <c r="H24" s="23" t="inlineStr">
        <is>
          <t>Bulk</t>
        </is>
      </c>
      <c r="I24" s="23" t="inlineStr">
        <is>
          <t>Zinc Salt</t>
        </is>
      </c>
      <c r="J24" s="23" t="inlineStr">
        <is>
          <t>Price INR 40-70/kg; India consumption ~100K MT/yr; Hindustan Zinc, Binani major; most deficient micronutrient in Indian soils</t>
        </is>
      </c>
      <c r="K24" s="23" t="inlineStr">
        <is>
          <t>MODERATE — growing awareness of micronutrient deficiency</t>
        </is>
      </c>
      <c r="L24" s="23" t="inlineStr">
        <is>
          <t>283329, 310590</t>
        </is>
      </c>
      <c r="M24" s="23" t="inlineStr">
        <is>
          <t>Yes</t>
        </is>
      </c>
    </row>
    <row r="25" ht="60" customHeight="1" s="19">
      <c r="A25" s="23" t="n">
        <v>22</v>
      </c>
      <c r="B25" s="23" t="inlineStr">
        <is>
          <t>Xylene (Mixed / Ortho / Para)</t>
        </is>
      </c>
      <c r="C25" s="23" t="inlineStr">
        <is>
          <t>1330-20-7</t>
        </is>
      </c>
      <c r="D25" s="23" t="inlineStr">
        <is>
          <t>Aromatic Solvent</t>
        </is>
      </c>
      <c r="E25" s="23" t="n">
        <v>65</v>
      </c>
      <c r="F25" s="23" t="inlineStr">
        <is>
          <t>Agrochemical formulation (EC solvent), paint solvent</t>
        </is>
      </c>
      <c r="G25" s="23" t="inlineStr">
        <is>
          <t>30-80% in EC formulations</t>
        </is>
      </c>
      <c r="H25" s="23" t="inlineStr">
        <is>
          <t>Bulk</t>
        </is>
      </c>
      <c r="I25" s="23" t="inlineStr">
        <is>
          <t>Aromatic Hydrocarbon</t>
        </is>
      </c>
      <c r="J25" s="23" t="inlineStr">
        <is>
          <t>Price INR 70-90/kg; major solvent for EC formulations; IOCL, BPCL, Reliance refineries; also PTA feedstock</t>
        </is>
      </c>
      <c r="K25" s="23" t="inlineStr">
        <is>
          <t>LOW — petroleum commodity, refinery byproduct</t>
        </is>
      </c>
      <c r="L25" s="23" t="inlineStr">
        <is>
          <t>290230</t>
        </is>
      </c>
      <c r="M25" s="23" t="inlineStr">
        <is>
          <t>No</t>
        </is>
      </c>
    </row>
    <row r="26" ht="60" customHeight="1" s="19">
      <c r="A26" s="23" t="n">
        <v>23</v>
      </c>
      <c r="B26" s="23" t="inlineStr">
        <is>
          <t>Abamectin</t>
        </is>
      </c>
      <c r="C26" s="23" t="inlineStr">
        <is>
          <t>71751-41-2</t>
        </is>
      </c>
      <c r="D26" s="23" t="inlineStr">
        <is>
          <t>Avermectin Insecticide/Miticide</t>
        </is>
      </c>
      <c r="E26" s="23" t="n">
        <v>62</v>
      </c>
      <c r="F26" s="23" t="inlineStr">
        <is>
          <t>Insecticide/Miticide (mites, leafminers in vegetables)</t>
        </is>
      </c>
      <c r="G26" s="23" t="inlineStr">
        <is>
          <t>1.8-3.6% (EC/ME)</t>
        </is>
      </c>
      <c r="H26" s="23" t="inlineStr">
        <is>
          <t>Active</t>
        </is>
      </c>
      <c r="I26" s="23" t="inlineStr">
        <is>
          <t>Macrocyclic Lactone</t>
        </is>
      </c>
      <c r="J26" s="23" t="inlineStr">
        <is>
          <t>Price INR 5,000-8,000/kg tech; Syngenta original; high potency; niche but premium</t>
        </is>
      </c>
      <c r="K26" s="23" t="inlineStr">
        <is>
          <t>MODERATE — niche premium, limited volume</t>
        </is>
      </c>
      <c r="L26" s="23" t="inlineStr">
        <is>
          <t>380892, 293229</t>
        </is>
      </c>
      <c r="M26" s="23" t="inlineStr">
        <is>
          <t>Yes</t>
        </is>
      </c>
    </row>
    <row r="27" ht="60" customHeight="1" s="19">
      <c r="A27" s="23" t="n">
        <v>24</v>
      </c>
      <c r="B27" s="23" t="inlineStr">
        <is>
          <t>Difenconazole</t>
        </is>
      </c>
      <c r="C27" s="23" t="inlineStr">
        <is>
          <t>119446-68-3</t>
        </is>
      </c>
      <c r="D27" s="23" t="inlineStr">
        <is>
          <t>Triazole Fungicide</t>
        </is>
      </c>
      <c r="E27" s="23" t="n">
        <v>60</v>
      </c>
      <c r="F27" s="23" t="inlineStr">
        <is>
          <t>Fungicide (seed treatment, foliar - fruits, vegetables)</t>
        </is>
      </c>
      <c r="G27" s="23" t="inlineStr">
        <is>
          <t>10-25% (EC/SC/FS)</t>
        </is>
      </c>
      <c r="H27" s="23" t="inlineStr">
        <is>
          <t>Active</t>
        </is>
      </c>
      <c r="I27" s="23" t="inlineStr">
        <is>
          <t>Triazole Fungicide</t>
        </is>
      </c>
      <c r="J27" s="23" t="inlineStr">
        <is>
          <t>Price INR 1,800-3,000/kg tech; Syngenta (Score); seed treatment market growing</t>
        </is>
      </c>
      <c r="K27" s="23" t="inlineStr">
        <is>
          <t>MODERATE — established, competitive generic market</t>
        </is>
      </c>
      <c r="L27" s="23" t="inlineStr">
        <is>
          <t>380892, 293490</t>
        </is>
      </c>
      <c r="M27" s="23" t="inlineStr">
        <is>
          <t>Yes</t>
        </is>
      </c>
    </row>
    <row r="28" ht="60" customHeight="1" s="19">
      <c r="A28" s="23" t="n">
        <v>25</v>
      </c>
      <c r="B28" s="23" t="inlineStr">
        <is>
          <t>Sulphur (Fertilizer/Industrial)</t>
        </is>
      </c>
      <c r="C28" s="23" t="inlineStr">
        <is>
          <t>7704-34-9</t>
        </is>
      </c>
      <c r="D28" s="23" t="inlineStr">
        <is>
          <t>Elemental Nutrient</t>
        </is>
      </c>
      <c r="E28" s="23" t="n">
        <v>60</v>
      </c>
      <c r="F28" s="23" t="inlineStr">
        <is>
          <t>Fertilizer (S deficiency), industrial (H2SO4)</t>
        </is>
      </c>
      <c r="G28" s="23" t="inlineStr">
        <is>
          <t>Elemental S 90-99%</t>
        </is>
      </c>
      <c r="H28" s="23" t="inlineStr">
        <is>
          <t>Bulk</t>
        </is>
      </c>
      <c r="I28" s="23" t="inlineStr">
        <is>
          <t>Elemental Nonmetal</t>
        </is>
      </c>
      <c r="J28" s="23" t="inlineStr">
        <is>
          <t>India imports ~5M MT/yr; Price USD 100-150/MT; major use: H2SO4 for fertilizer manufacturing; Middle East, UAE sources</t>
        </is>
      </c>
      <c r="K28" s="23" t="inlineStr">
        <is>
          <t>COMMODITY — essential for fertilizer chain</t>
        </is>
      </c>
      <c r="L28" s="23" t="inlineStr">
        <is>
          <t>250300</t>
        </is>
      </c>
      <c r="M28" s="23" t="inlineStr">
        <is>
          <t>No</t>
        </is>
      </c>
    </row>
    <row r="29" ht="60" customHeight="1" s="19">
      <c r="A29" s="23" t="n">
        <v>26</v>
      </c>
      <c r="B29" s="23" t="inlineStr">
        <is>
          <t>Seaweed Extract (Ascophyllum / Kappaphycus)</t>
        </is>
      </c>
      <c r="C29" s="23" t="inlineStr">
        <is>
          <t>—</t>
        </is>
      </c>
      <c r="D29" s="23" t="inlineStr">
        <is>
          <t>Bio-stimulant</t>
        </is>
      </c>
      <c r="E29" s="23" t="n">
        <v>60</v>
      </c>
      <c r="F29" s="23" t="inlineStr">
        <is>
          <t>Biologicals (growth promoter, stress tolerance)</t>
        </is>
      </c>
      <c r="G29" s="23" t="inlineStr">
        <is>
          <t>0.1-5% active (foliar/drench)</t>
        </is>
      </c>
      <c r="H29" s="23" t="inlineStr">
        <is>
          <t>Active</t>
        </is>
      </c>
      <c r="I29" s="23" t="inlineStr">
        <is>
          <t>Marine Extract</t>
        </is>
      </c>
      <c r="J29" s="23" t="inlineStr">
        <is>
          <t>India bio-stimulant market growing 12%+ CAGR; Price INR 200-500/kg; Kappaphycus seaweed farming in Tamil Nadu; Acadian, Biostadt major</t>
        </is>
      </c>
      <c r="K29" s="23" t="inlineStr">
        <is>
          <t>HIGH — fast-growing segment, import-dependent for Ascophyllum</t>
        </is>
      </c>
      <c r="L29" s="23" t="inlineStr">
        <is>
          <t>130219, 310100</t>
        </is>
      </c>
      <c r="M29" s="23" t="inlineStr">
        <is>
          <t>Yes</t>
        </is>
      </c>
    </row>
    <row r="30" ht="60" customHeight="1" s="19">
      <c r="A30" s="23" t="n">
        <v>27</v>
      </c>
      <c r="B30" s="23" t="inlineStr">
        <is>
          <t>Paraquat Dichloride</t>
        </is>
      </c>
      <c r="C30" s="23" t="inlineStr">
        <is>
          <t>1910-42-5</t>
        </is>
      </c>
      <c r="D30" s="23" t="inlineStr">
        <is>
          <t>Contact Herbicide</t>
        </is>
      </c>
      <c r="E30" s="23" t="n">
        <v>58</v>
      </c>
      <c r="F30" s="23" t="inlineStr">
        <is>
          <t>Herbicide (plantation, non-crop, desiccation)</t>
        </is>
      </c>
      <c r="G30" s="23" t="inlineStr">
        <is>
          <t>24% (SL)</t>
        </is>
      </c>
      <c r="H30" s="23" t="inlineStr">
        <is>
          <t>Bulk</t>
        </is>
      </c>
      <c r="I30" s="23" t="inlineStr">
        <is>
          <t>Bipyridinium Herbicide</t>
        </is>
      </c>
      <c r="J30" s="23" t="inlineStr">
        <is>
          <t>Price INR 200-350/kg tech; banned in EU/China but used in India/LatAm/SE Asia; Syngenta original; controversial</t>
        </is>
      </c>
      <c r="K30" s="23" t="inlineStr">
        <is>
          <t>LOW-MODERATE — regulatory risk growing</t>
        </is>
      </c>
      <c r="L30" s="23" t="inlineStr">
        <is>
          <t>380891, 293339</t>
        </is>
      </c>
      <c r="M30" s="23" t="inlineStr">
        <is>
          <t>Yes</t>
        </is>
      </c>
    </row>
    <row r="31" ht="60" customHeight="1" s="19">
      <c r="A31" s="23" t="n">
        <v>28</v>
      </c>
      <c r="B31" s="23" t="inlineStr">
        <is>
          <t>Chlorfenapyr</t>
        </is>
      </c>
      <c r="C31" s="23" t="inlineStr">
        <is>
          <t>122453-73-0</t>
        </is>
      </c>
      <c r="D31" s="23" t="inlineStr">
        <is>
          <t>Pyrrole Insecticide</t>
        </is>
      </c>
      <c r="E31" s="23" t="n">
        <v>55</v>
      </c>
      <c r="F31" s="23" t="inlineStr">
        <is>
          <t>Insecticide (resistant pest management, public health)</t>
        </is>
      </c>
      <c r="G31" s="23" t="inlineStr">
        <is>
          <t>10-24% (SC)</t>
        </is>
      </c>
      <c r="H31" s="23" t="inlineStr">
        <is>
          <t>Active</t>
        </is>
      </c>
      <c r="I31" s="23" t="inlineStr">
        <is>
          <t>Pro-insecticide</t>
        </is>
      </c>
      <c r="J31" s="23" t="inlineStr">
        <is>
          <t>Price INR 3,000-5,000/kg tech; BASF original; resistance management tool; bedbugs/resistant Helicoverpa</t>
        </is>
      </c>
      <c r="K31" s="23" t="inlineStr">
        <is>
          <t>HIGH — premium niche, resistance management</t>
        </is>
      </c>
      <c r="L31" s="23" t="inlineStr">
        <is>
          <t>380892, 293319</t>
        </is>
      </c>
      <c r="M31" s="23" t="inlineStr">
        <is>
          <t>Yes</t>
        </is>
      </c>
    </row>
    <row r="32" ht="60" customHeight="1" s="19">
      <c r="A32" s="23" t="n">
        <v>29</v>
      </c>
      <c r="B32" s="23" t="inlineStr">
        <is>
          <t>Phosphoric Acid</t>
        </is>
      </c>
      <c r="C32" s="23" t="inlineStr">
        <is>
          <t>7664-38-2</t>
        </is>
      </c>
      <c r="D32" s="23" t="inlineStr">
        <is>
          <t>Fertilizer Intermediate</t>
        </is>
      </c>
      <c r="E32" s="23" t="n">
        <v>55</v>
      </c>
      <c r="F32" s="23" t="inlineStr">
        <is>
          <t>Fertilizer manufacturing (DAP, MAP, TSP)</t>
        </is>
      </c>
      <c r="G32" s="23" t="inlineStr">
        <is>
          <t>P2O5 52-54%</t>
        </is>
      </c>
      <c r="H32" s="23" t="inlineStr">
        <is>
          <t>Bulk</t>
        </is>
      </c>
      <c r="I32" s="23" t="inlineStr">
        <is>
          <t>Mineral Acid</t>
        </is>
      </c>
      <c r="J32" s="23" t="inlineStr">
        <is>
          <t>India imports ~3M MT/yr; Price USD 700-900/MT; Morocco (OCP), Saudi Arabia major suppliers; used for DAP production</t>
        </is>
      </c>
      <c r="K32" s="23" t="inlineStr">
        <is>
          <t>COMMODITY import — strategic raw material</t>
        </is>
      </c>
      <c r="L32" s="23" t="inlineStr">
        <is>
          <t>280920</t>
        </is>
      </c>
      <c r="M32" s="23" t="inlineStr">
        <is>
          <t>No</t>
        </is>
      </c>
    </row>
    <row r="33" ht="60" customHeight="1" s="19">
      <c r="A33" s="23" t="n">
        <v>30</v>
      </c>
      <c r="B33" s="23" t="inlineStr">
        <is>
          <t>Humic Acid / Potassium Humate</t>
        </is>
      </c>
      <c r="C33" s="23" t="inlineStr">
        <is>
          <t>1415-93-6</t>
        </is>
      </c>
      <c r="D33" s="23" t="inlineStr">
        <is>
          <t>Soil Conditioner</t>
        </is>
      </c>
      <c r="E33" s="23" t="n">
        <v>55</v>
      </c>
      <c r="F33" s="23" t="inlineStr">
        <is>
          <t>Biologicals (soil health, nutrient uptake)</t>
        </is>
      </c>
      <c r="G33" s="23" t="inlineStr">
        <is>
          <t>50-70% humic acid</t>
        </is>
      </c>
      <c r="H33" s="23" t="inlineStr">
        <is>
          <t>Bulk</t>
        </is>
      </c>
      <c r="I33" s="23" t="inlineStr">
        <is>
          <t>Humic Substance</t>
        </is>
      </c>
      <c r="J33" s="23" t="inlineStr">
        <is>
          <t>Price INR 80-200/kg; China dominant exporter (Xinjiang leonardite); India imports growing; organic farming driver</t>
        </is>
      </c>
      <c r="K33" s="23" t="inlineStr">
        <is>
          <t>MODERATE — China import dependency, growing demand</t>
        </is>
      </c>
      <c r="L33" s="23" t="inlineStr">
        <is>
          <t>310100, 310590</t>
        </is>
      </c>
      <c r="M33" s="23" t="inlineStr">
        <is>
          <t>Yes</t>
        </is>
      </c>
    </row>
    <row r="34" ht="60" customHeight="1" s="19">
      <c r="A34" s="23" t="n">
        <v>31</v>
      </c>
      <c r="B34" s="23" t="inlineStr">
        <is>
          <t>Methyl Soyate / Methylated Seed Oil (MSO)</t>
        </is>
      </c>
      <c r="C34" s="23" t="inlineStr">
        <is>
          <t>—</t>
        </is>
      </c>
      <c r="D34" s="23" t="inlineStr">
        <is>
          <t>Spray Adjuvant</t>
        </is>
      </c>
      <c r="E34" s="23" t="n">
        <v>55</v>
      </c>
      <c r="F34" s="23" t="inlineStr">
        <is>
          <t>Agrochemical application (drift reducer, uptake enhancer)</t>
        </is>
      </c>
      <c r="G34" s="23" t="inlineStr">
        <is>
          <t>0.5-2% in spray tank</t>
        </is>
      </c>
      <c r="H34" s="23" t="inlineStr">
        <is>
          <t>Bulk</t>
        </is>
      </c>
      <c r="I34" s="23" t="inlineStr">
        <is>
          <t>Fatty Acid Methyl Ester</t>
        </is>
      </c>
      <c r="J34" s="23" t="inlineStr">
        <is>
          <t>INR 80-120/kg; bio-based adjuvant; growing as chemical adjuvants face restrictions; soy/palm based</t>
        </is>
      </c>
      <c r="K34" s="23" t="inlineStr">
        <is>
          <t>MODERATE — growing green chemistry trend</t>
        </is>
      </c>
      <c r="L34" s="23" t="inlineStr">
        <is>
          <t>382490, 151190</t>
        </is>
      </c>
      <c r="M34" s="23" t="inlineStr">
        <is>
          <t>No</t>
        </is>
      </c>
    </row>
    <row r="35" ht="60" customHeight="1" s="19">
      <c r="A35" s="23" t="n">
        <v>32</v>
      </c>
      <c r="B35" s="23" t="inlineStr">
        <is>
          <t>Lysine HCl (Feed Grade)</t>
        </is>
      </c>
      <c r="C35" s="23" t="inlineStr">
        <is>
          <t>657-27-2</t>
        </is>
      </c>
      <c r="D35" s="23" t="inlineStr">
        <is>
          <t>Essential Amino Acid</t>
        </is>
      </c>
      <c r="E35" s="23" t="n">
        <v>55</v>
      </c>
      <c r="F35" s="23" t="inlineStr">
        <is>
          <t>Feed Ingredients (poultry, swine supplementation)</t>
        </is>
      </c>
      <c r="G35" s="23" t="inlineStr">
        <is>
          <t>98.5% Lysine HCl</t>
        </is>
      </c>
      <c r="H35" s="23" t="inlineStr">
        <is>
          <t>Active</t>
        </is>
      </c>
      <c r="I35" s="23" t="inlineStr">
        <is>
          <t>Amino Acid</t>
        </is>
      </c>
      <c r="J35" s="23" t="inlineStr">
        <is>
          <t>Price INR 100-180/kg; China dominant (CJ, Ajinomoto); India imports 80K+ MT/yr; poultry boom driving demand</t>
        </is>
      </c>
      <c r="K35" s="23" t="inlineStr">
        <is>
          <t>MODERATE — China import dependency, growing demand</t>
        </is>
      </c>
      <c r="L35" s="23" t="inlineStr">
        <is>
          <t>292241</t>
        </is>
      </c>
      <c r="M35" s="23" t="inlineStr">
        <is>
          <t>Yes</t>
        </is>
      </c>
    </row>
    <row r="36" ht="60" customHeight="1" s="19">
      <c r="A36" s="23" t="n">
        <v>33</v>
      </c>
      <c r="B36" s="23" t="inlineStr">
        <is>
          <t>Pendimethalin</t>
        </is>
      </c>
      <c r="C36" s="23" t="inlineStr">
        <is>
          <t>40487-42-1</t>
        </is>
      </c>
      <c r="D36" s="23" t="inlineStr">
        <is>
          <t>Dinitroaniline Herbicide</t>
        </is>
      </c>
      <c r="E36" s="23" t="n">
        <v>52</v>
      </c>
      <c r="F36" s="23" t="inlineStr">
        <is>
          <t>Herbicide (pre-emergent, rice, wheat, vegetables)</t>
        </is>
      </c>
      <c r="G36" s="23" t="inlineStr">
        <is>
          <t>30-38.7% (CS/EC)</t>
        </is>
      </c>
      <c r="H36" s="23" t="inlineStr">
        <is>
          <t>Bulk</t>
        </is>
      </c>
      <c r="I36" s="23" t="inlineStr">
        <is>
          <t>Dinitroaniline</t>
        </is>
      </c>
      <c r="J36" s="23" t="inlineStr">
        <is>
          <t>Price INR 300-500/kg tech; BASF (Stomp); India production growing; pre-emergent leader</t>
        </is>
      </c>
      <c r="K36" s="23" t="inlineStr">
        <is>
          <t>MODERATE — competitive commodity</t>
        </is>
      </c>
      <c r="L36" s="23" t="inlineStr">
        <is>
          <t>380891, 292129</t>
        </is>
      </c>
      <c r="M36" s="23" t="inlineStr">
        <is>
          <t>No</t>
        </is>
      </c>
    </row>
    <row r="37" ht="60" customHeight="1" s="19">
      <c r="A37" s="23" t="n">
        <v>34</v>
      </c>
      <c r="B37" s="23" t="inlineStr">
        <is>
          <t>Carbendazim</t>
        </is>
      </c>
      <c r="C37" s="23" t="inlineStr">
        <is>
          <t>10605-21-7</t>
        </is>
      </c>
      <c r="D37" s="23" t="inlineStr">
        <is>
          <t>Benzimidazole Fungicide</t>
        </is>
      </c>
      <c r="E37" s="23" t="n">
        <v>50</v>
      </c>
      <c r="F37" s="23" t="inlineStr">
        <is>
          <t>Fungicide (systemic, broad-spectrum)</t>
        </is>
      </c>
      <c r="G37" s="23" t="inlineStr">
        <is>
          <t>12-50% (SC/WP)</t>
        </is>
      </c>
      <c r="H37" s="23" t="inlineStr">
        <is>
          <t>Bulk</t>
        </is>
      </c>
      <c r="I37" s="23" t="inlineStr">
        <is>
          <t>Benzimidazole</t>
        </is>
      </c>
      <c r="J37" s="23" t="inlineStr">
        <is>
          <t>Price INR 300-500/kg tech; EU banned; India major producer/user; declining in regulated markets</t>
        </is>
      </c>
      <c r="K37" s="23" t="inlineStr">
        <is>
          <t>LOW — regulatory decline in export markets</t>
        </is>
      </c>
      <c r="L37" s="23" t="inlineStr">
        <is>
          <t>380892, 293399</t>
        </is>
      </c>
      <c r="M37" s="23" t="inlineStr">
        <is>
          <t>No</t>
        </is>
      </c>
    </row>
    <row r="38" ht="60" customHeight="1" s="19">
      <c r="A38" s="23" t="n">
        <v>35</v>
      </c>
      <c r="B38" s="23" t="inlineStr">
        <is>
          <t>Potash (SOP / K2SO4)</t>
        </is>
      </c>
      <c r="C38" s="23" t="inlineStr">
        <is>
          <t>7778-80-5</t>
        </is>
      </c>
      <c r="D38" s="23" t="inlineStr">
        <is>
          <t>Potassic Fertilizer</t>
        </is>
      </c>
      <c r="E38" s="23" t="n">
        <v>50</v>
      </c>
      <c r="F38" s="23" t="inlineStr">
        <is>
          <t>Fertilizer (K source for chloride-sensitive crops)</t>
        </is>
      </c>
      <c r="G38" s="23" t="inlineStr">
        <is>
          <t>50% K2O, 18% S</t>
        </is>
      </c>
      <c r="H38" s="23" t="inlineStr">
        <is>
          <t>Active</t>
        </is>
      </c>
      <c r="I38" s="23" t="inlineStr">
        <is>
          <t>Potassium Sulphate</t>
        </is>
      </c>
      <c r="J38" s="23" t="inlineStr">
        <is>
          <t>India 100% imported; Price INR 30-40/kg; premium over MOP; used for fruits, vegetables, tobacco</t>
        </is>
      </c>
      <c r="K38" s="23" t="inlineStr">
        <is>
          <t>MODERATE — premium K source, lower volume</t>
        </is>
      </c>
      <c r="L38" s="23" t="inlineStr">
        <is>
          <t>310490</t>
        </is>
      </c>
      <c r="M38" s="23" t="inlineStr">
        <is>
          <t>No</t>
        </is>
      </c>
    </row>
    <row r="39" ht="60" customHeight="1" s="19">
      <c r="A39" s="23" t="n">
        <v>36</v>
      </c>
      <c r="B39" s="23" t="inlineStr">
        <is>
          <t>Trichoderma viride / harzianum</t>
        </is>
      </c>
      <c r="C39" s="23" t="inlineStr">
        <is>
          <t>—</t>
        </is>
      </c>
      <c r="D39" s="23" t="inlineStr">
        <is>
          <t>Bio-fungicide</t>
        </is>
      </c>
      <c r="E39" s="23" t="n">
        <v>50</v>
      </c>
      <c r="F39" s="23" t="inlineStr">
        <is>
          <t>Biologicals (soil-borne disease control, seed treatment)</t>
        </is>
      </c>
      <c r="G39" s="23" t="inlineStr">
        <is>
          <t>1-2 × 10⁹ CFU/g</t>
        </is>
      </c>
      <c r="H39" s="23" t="inlineStr">
        <is>
          <t>Active</t>
        </is>
      </c>
      <c r="I39" s="23" t="inlineStr">
        <is>
          <t>Beneficial Fungus</t>
        </is>
      </c>
      <c r="J39" s="23" t="inlineStr">
        <is>
          <t>Price INR 300-600/kg; India production growing; T. viride for Fusarium, Rhizoctonia; IPL Biologicals, Anand Agro major</t>
        </is>
      </c>
      <c r="K39" s="23" t="inlineStr">
        <is>
          <t>LOW — domestic production sufficient, low-tech</t>
        </is>
      </c>
      <c r="L39" s="23" t="inlineStr">
        <is>
          <t>310590, 380899</t>
        </is>
      </c>
      <c r="M39" s="23" t="inlineStr">
        <is>
          <t>Yes</t>
        </is>
      </c>
    </row>
    <row r="40" ht="60" customHeight="1" s="19">
      <c r="A40" s="23" t="n">
        <v>37</v>
      </c>
      <c r="B40" s="23" t="inlineStr">
        <is>
          <t>Cyclohexanone</t>
        </is>
      </c>
      <c r="C40" s="23" t="inlineStr">
        <is>
          <t>108-94-1</t>
        </is>
      </c>
      <c r="D40" s="23" t="inlineStr">
        <is>
          <t>Solvent</t>
        </is>
      </c>
      <c r="E40" s="23" t="n">
        <v>50</v>
      </c>
      <c r="F40" s="23" t="inlineStr">
        <is>
          <t>Agrochemical formulation (EC/ULV solvent)</t>
        </is>
      </c>
      <c r="G40" s="23" t="inlineStr">
        <is>
          <t>10-60% in EC formulations</t>
        </is>
      </c>
      <c r="H40" s="23" t="inlineStr">
        <is>
          <t>Bulk</t>
        </is>
      </c>
      <c r="I40" s="23" t="inlineStr">
        <is>
          <t>Ketone Solvent</t>
        </is>
      </c>
      <c r="J40" s="23" t="inlineStr">
        <is>
          <t>Price INR 100-150/kg; key solvent for EC pesticides; GSFC, Gujarat Narmada major; also used for nylon/caprolactam</t>
        </is>
      </c>
      <c r="K40" s="23" t="inlineStr">
        <is>
          <t>LOW — commodity solvent, well-supplied domestically</t>
        </is>
      </c>
      <c r="L40" s="23" t="inlineStr">
        <is>
          <t>291411</t>
        </is>
      </c>
      <c r="M40" s="23" t="inlineStr">
        <is>
          <t>No</t>
        </is>
      </c>
    </row>
    <row r="41" ht="60" customHeight="1" s="19">
      <c r="A41" s="23" t="n">
        <v>38</v>
      </c>
      <c r="B41" s="23" t="inlineStr">
        <is>
          <t>Choline Chloride (60/70%)</t>
        </is>
      </c>
      <c r="C41" s="23" t="inlineStr">
        <is>
          <t>67-48-1</t>
        </is>
      </c>
      <c r="D41" s="23" t="inlineStr">
        <is>
          <t>Vitamin B4 / Feed Additive</t>
        </is>
      </c>
      <c r="E41" s="23" t="n">
        <v>50</v>
      </c>
      <c r="F41" s="23" t="inlineStr">
        <is>
          <t>Feed Ingredients (poultry, swine - essential nutrient)</t>
        </is>
      </c>
      <c r="G41" s="23" t="inlineStr">
        <is>
          <t>60-70% liquid/powder</t>
        </is>
      </c>
      <c r="H41" s="23" t="inlineStr">
        <is>
          <t>Bulk</t>
        </is>
      </c>
      <c r="I41" s="23" t="inlineStr">
        <is>
          <t>Quaternary Ammonium Salt</t>
        </is>
      </c>
      <c r="J41" s="23" t="inlineStr">
        <is>
          <t>Price INR 100-200/kg (60%); China dominant; India imports ~30K MT/yr; Jubilant Ingrevia domestic</t>
        </is>
      </c>
      <c r="K41" s="23" t="inlineStr">
        <is>
          <t>MODERATE — China dependency, essential feed ingredient</t>
        </is>
      </c>
      <c r="L41" s="23" t="inlineStr">
        <is>
          <t>292300</t>
        </is>
      </c>
      <c r="M41" s="23" t="inlineStr">
        <is>
          <t>Yes</t>
        </is>
      </c>
    </row>
    <row r="42" ht="60" customHeight="1" s="19">
      <c r="A42" s="23" t="n">
        <v>39</v>
      </c>
      <c r="B42" s="23" t="inlineStr">
        <is>
          <t>Profenofos</t>
        </is>
      </c>
      <c r="C42" s="23" t="inlineStr">
        <is>
          <t>41198-08-7</t>
        </is>
      </c>
      <c r="D42" s="23" t="inlineStr">
        <is>
          <t>Organophosphate Insecticide</t>
        </is>
      </c>
      <c r="E42" s="23" t="n">
        <v>48</v>
      </c>
      <c r="F42" s="23" t="inlineStr">
        <is>
          <t>Insecticide (cotton, vegetables)</t>
        </is>
      </c>
      <c r="G42" s="23" t="inlineStr">
        <is>
          <t>40-50% (EC)</t>
        </is>
      </c>
      <c r="H42" s="23" t="inlineStr">
        <is>
          <t>Active</t>
        </is>
      </c>
      <c r="I42" s="23" t="inlineStr">
        <is>
          <t>Organophosphorus Insecticide</t>
        </is>
      </c>
      <c r="J42" s="23" t="inlineStr">
        <is>
          <t>Price INR 500-800/kg tech; used in cotton IPM India; combination products popular</t>
        </is>
      </c>
      <c r="K42" s="23" t="inlineStr">
        <is>
          <t>LOW-MODERATE — older chemistry, declining</t>
        </is>
      </c>
      <c r="L42" s="23" t="inlineStr">
        <is>
          <t>380892, 291990</t>
        </is>
      </c>
      <c r="M42" s="23" t="inlineStr">
        <is>
          <t>Yes</t>
        </is>
      </c>
    </row>
    <row r="43" ht="60" customHeight="1" s="19">
      <c r="A43" s="23" t="n">
        <v>40</v>
      </c>
      <c r="B43" s="23" t="inlineStr">
        <is>
          <t>Azadirachtin (Neem-based)</t>
        </is>
      </c>
      <c r="C43" s="23" t="inlineStr">
        <is>
          <t>11141-17-6</t>
        </is>
      </c>
      <c r="D43" s="23" t="inlineStr">
        <is>
          <t>Botanical Insecticide</t>
        </is>
      </c>
      <c r="E43" s="23" t="n">
        <v>48</v>
      </c>
      <c r="F43" s="23" t="inlineStr">
        <is>
          <t>Biologicals (neem insecticide, anti-feedant)</t>
        </is>
      </c>
      <c r="G43" s="23" t="inlineStr">
        <is>
          <t>300-10,000 ppm EC/spray</t>
        </is>
      </c>
      <c r="H43" s="23" t="inlineStr">
        <is>
          <t>Active</t>
        </is>
      </c>
      <c r="I43" s="23" t="inlineStr">
        <is>
          <t>Terpenoid Insecticide</t>
        </is>
      </c>
      <c r="J43" s="23" t="inlineStr">
        <is>
          <t>Price INR 500-2,000/kg (based on % AI); India is global neem leader; Ozone Biotech, Margo major brands; export potential</t>
        </is>
      </c>
      <c r="K43" s="23" t="inlineStr">
        <is>
          <t>MODERATE — India origin advantage, growing organic demand</t>
        </is>
      </c>
      <c r="L43" s="23" t="inlineStr">
        <is>
          <t>380891, 121190</t>
        </is>
      </c>
      <c r="M43" s="23" t="inlineStr">
        <is>
          <t>No</t>
        </is>
      </c>
    </row>
    <row r="44" ht="60" customHeight="1" s="19">
      <c r="A44" s="23" t="n">
        <v>41</v>
      </c>
      <c r="B44" s="23" t="inlineStr">
        <is>
          <t>Calcium Ammonium Nitrate (CAN)</t>
        </is>
      </c>
      <c r="C44" s="23" t="inlineStr">
        <is>
          <t>15245-12-2</t>
        </is>
      </c>
      <c r="D44" s="23" t="inlineStr">
        <is>
          <t>Nitrogenous Fertilizer</t>
        </is>
      </c>
      <c r="E44" s="23" t="n">
        <v>48</v>
      </c>
      <c r="F44" s="23" t="inlineStr">
        <is>
          <t>Fertilizer (N source, less volatile than urea)</t>
        </is>
      </c>
      <c r="G44" s="23" t="inlineStr">
        <is>
          <t>25-27% N</t>
        </is>
      </c>
      <c r="H44" s="23" t="inlineStr">
        <is>
          <t>Bulk</t>
        </is>
      </c>
      <c r="I44" s="23" t="inlineStr">
        <is>
          <t>Nitrate Fertilizer</t>
        </is>
      </c>
      <c r="J44" s="23" t="inlineStr">
        <is>
          <t>Price INR 10-12/kg; EU prefers over urea; India production limited; security-controlled (explosive precursor)</t>
        </is>
      </c>
      <c r="K44" s="23" t="inlineStr">
        <is>
          <t>LOW — restricted trade, limited India market</t>
        </is>
      </c>
      <c r="L44" s="23" t="inlineStr">
        <is>
          <t>310240</t>
        </is>
      </c>
      <c r="M44" s="23" t="inlineStr">
        <is>
          <t>No</t>
        </is>
      </c>
    </row>
    <row r="45" ht="60" customHeight="1" s="19">
      <c r="A45" s="23" t="n">
        <v>42</v>
      </c>
      <c r="B45" s="23" t="inlineStr">
        <is>
          <t>DCP (Dicalcium Phosphate Feed)</t>
        </is>
      </c>
      <c r="C45" s="23" t="inlineStr">
        <is>
          <t>7757-93-9</t>
        </is>
      </c>
      <c r="D45" s="23" t="inlineStr">
        <is>
          <t>Ca/P Supplement</t>
        </is>
      </c>
      <c r="E45" s="23" t="n">
        <v>48</v>
      </c>
      <c r="F45" s="23" t="inlineStr">
        <is>
          <t>Feed Ingredients (Ca &amp; P source in livestock feed)</t>
        </is>
      </c>
      <c r="G45" s="23" t="inlineStr">
        <is>
          <t>18-21% P, 23-26% Ca</t>
        </is>
      </c>
      <c r="H45" s="23" t="inlineStr">
        <is>
          <t>Bulk</t>
        </is>
      </c>
      <c r="I45" s="23" t="inlineStr">
        <is>
          <t>Calcium Phosphate</t>
        </is>
      </c>
      <c r="J45" s="23" t="inlineStr">
        <is>
          <t>Price INR 25-40/kg; Nirma, GACL domestic producers; India production ~500K MT/yr</t>
        </is>
      </c>
      <c r="K45" s="23" t="inlineStr">
        <is>
          <t>LOW — domestic production adequate</t>
        </is>
      </c>
      <c r="L45" s="23" t="inlineStr">
        <is>
          <t>283523, 310590</t>
        </is>
      </c>
      <c r="M45" s="23" t="inlineStr">
        <is>
          <t>Yes</t>
        </is>
      </c>
    </row>
    <row r="46" ht="60" customHeight="1" s="19">
      <c r="A46" s="23" t="n">
        <v>43</v>
      </c>
      <c r="B46" s="23" t="inlineStr">
        <is>
          <t>Amino Acid Hydrolysate</t>
        </is>
      </c>
      <c r="C46" s="23" t="inlineStr">
        <is>
          <t>—</t>
        </is>
      </c>
      <c r="D46" s="23" t="inlineStr">
        <is>
          <t>Bio-stimulant / Foliar</t>
        </is>
      </c>
      <c r="E46" s="23" t="n">
        <v>45</v>
      </c>
      <c r="F46" s="23" t="inlineStr">
        <is>
          <t>Biologicals (foliar nutrition, stress tolerance)</t>
        </is>
      </c>
      <c r="G46" s="23" t="inlineStr">
        <is>
          <t>10-50% amino acids</t>
        </is>
      </c>
      <c r="H46" s="23" t="inlineStr">
        <is>
          <t>Active</t>
        </is>
      </c>
      <c r="I46" s="23" t="inlineStr">
        <is>
          <t>Amino Acid Complex</t>
        </is>
      </c>
      <c r="J46" s="23" t="inlineStr">
        <is>
          <t>Price INR 150-400/kg; animal/plant protein hydrolysis; Haifa, Valagro sources; organic certification growing</t>
        </is>
      </c>
      <c r="K46" s="23" t="inlineStr">
        <is>
          <t>MODERATE — growing with precision agriculture</t>
        </is>
      </c>
      <c r="L46" s="23" t="inlineStr">
        <is>
          <t>292249, 310590</t>
        </is>
      </c>
      <c r="M46" s="23" t="inlineStr">
        <is>
          <t>Yes</t>
        </is>
      </c>
    </row>
    <row r="47" ht="60" customHeight="1" s="19">
      <c r="A47" s="23" t="n">
        <v>44</v>
      </c>
      <c r="B47" s="23" t="inlineStr">
        <is>
          <t>Corn Gluten Meal (60% protein)</t>
        </is>
      </c>
      <c r="C47" s="23" t="inlineStr">
        <is>
          <t>66071-96-3</t>
        </is>
      </c>
      <c r="D47" s="23" t="inlineStr">
        <is>
          <t>Feed Protein</t>
        </is>
      </c>
      <c r="E47" s="23" t="n">
        <v>45</v>
      </c>
      <c r="F47" s="23" t="inlineStr">
        <is>
          <t>Feed Ingredients (poultry, aquaculture protein)</t>
        </is>
      </c>
      <c r="G47" s="23" t="inlineStr">
        <is>
          <t>60% crude protein</t>
        </is>
      </c>
      <c r="H47" s="23" t="inlineStr">
        <is>
          <t>Bulk</t>
        </is>
      </c>
      <c r="I47" s="23" t="inlineStr">
        <is>
          <t>Corn Protein</t>
        </is>
      </c>
      <c r="J47" s="23" t="inlineStr">
        <is>
          <t>Price INR 30-50/kg; US/China major exporters; India ethanol program creating domestic supply; DDGS alternative</t>
        </is>
      </c>
      <c r="K47" s="23" t="inlineStr">
        <is>
          <t>MODERATE — ethanol program creating new domestic supply</t>
        </is>
      </c>
      <c r="L47" s="23" t="inlineStr">
        <is>
          <t>230210</t>
        </is>
      </c>
      <c r="M47" s="23" t="inlineStr">
        <is>
          <t>Yes</t>
        </is>
      </c>
    </row>
    <row r="48" ht="60" customHeight="1" s="19">
      <c r="A48" s="23" t="n">
        <v>45</v>
      </c>
      <c r="B48" s="23" t="inlineStr">
        <is>
          <t>Beauveria bassiana</t>
        </is>
      </c>
      <c r="C48" s="23" t="inlineStr">
        <is>
          <t>—</t>
        </is>
      </c>
      <c r="D48" s="23" t="inlineStr">
        <is>
          <t>Entomopathogenic Fungus</t>
        </is>
      </c>
      <c r="E48" s="23" t="n">
        <v>42</v>
      </c>
      <c r="F48" s="23" t="inlineStr">
        <is>
          <t>Biologicals (whitefly, thrips, beetle biocontrol)</t>
        </is>
      </c>
      <c r="G48" s="23" t="inlineStr">
        <is>
          <t>1-2 × 10⁹ CFU/g</t>
        </is>
      </c>
      <c r="H48" s="23" t="inlineStr">
        <is>
          <t>Active</t>
        </is>
      </c>
      <c r="I48" s="23" t="inlineStr">
        <is>
          <t>Biological Insecticide</t>
        </is>
      </c>
      <c r="J48" s="23" t="inlineStr">
        <is>
          <t>Price INR 300-600/kg; India production growing; IPM integration; Multiplex, T Stanes major</t>
        </is>
      </c>
      <c r="K48" s="23" t="inlineStr">
        <is>
          <t>LOW — domestic production, low-tech barrier</t>
        </is>
      </c>
      <c r="L48" s="23" t="inlineStr">
        <is>
          <t>380891, 310590</t>
        </is>
      </c>
      <c r="M48" s="23" t="inlineStr">
        <is>
          <t>No</t>
        </is>
      </c>
    </row>
    <row r="49" ht="60" customHeight="1" s="19">
      <c r="A49" s="23" t="n">
        <v>46</v>
      </c>
      <c r="B49" s="23" t="inlineStr">
        <is>
          <t>Manganese Sulphate (Agri)</t>
        </is>
      </c>
      <c r="C49" s="23" t="inlineStr">
        <is>
          <t>10034-96-5</t>
        </is>
      </c>
      <c r="D49" s="23" t="inlineStr">
        <is>
          <t>Micronutrient</t>
        </is>
      </c>
      <c r="E49" s="23" t="n">
        <v>42</v>
      </c>
      <c r="F49" s="23" t="inlineStr">
        <is>
          <t>Fertilizer (Mn deficiency correction)</t>
        </is>
      </c>
      <c r="G49" s="23" t="inlineStr">
        <is>
          <t>30-32% Mn</t>
        </is>
      </c>
      <c r="H49" s="23" t="inlineStr">
        <is>
          <t>Bulk</t>
        </is>
      </c>
      <c r="I49" s="23" t="inlineStr">
        <is>
          <t>Manganese Salt</t>
        </is>
      </c>
      <c r="J49" s="23" t="inlineStr">
        <is>
          <t>Price INR 40-80/kg; second most deficient micronutrient after Zn in Indian soils; MOIL, Atul major</t>
        </is>
      </c>
      <c r="K49" s="23" t="inlineStr">
        <is>
          <t>LOW-MODERATE — growing micronutrient awareness</t>
        </is>
      </c>
      <c r="L49" s="23" t="inlineStr">
        <is>
          <t>283326, 310590</t>
        </is>
      </c>
      <c r="M49" s="23" t="inlineStr">
        <is>
          <t>Yes</t>
        </is>
      </c>
    </row>
    <row r="50" ht="60" customHeight="1" s="19">
      <c r="A50" s="23" t="n">
        <v>47</v>
      </c>
      <c r="B50" s="23" t="inlineStr">
        <is>
          <t>Halquinol</t>
        </is>
      </c>
      <c r="C50" s="23" t="inlineStr">
        <is>
          <t>8067-69-4</t>
        </is>
      </c>
      <c r="D50" s="23" t="inlineStr">
        <is>
          <t>Antimicrobial Growth Promoter</t>
        </is>
      </c>
      <c r="E50" s="23" t="n">
        <v>42</v>
      </c>
      <c r="F50" s="23" t="inlineStr">
        <is>
          <t>Feed Ingredients (gut health, growth promotion)</t>
        </is>
      </c>
      <c r="G50" s="23" t="inlineStr">
        <is>
          <t>60-62% active</t>
        </is>
      </c>
      <c r="H50" s="23" t="inlineStr">
        <is>
          <t>Active</t>
        </is>
      </c>
      <c r="I50" s="23" t="inlineStr">
        <is>
          <t>Quinoline Derivative</t>
        </is>
      </c>
      <c r="J50" s="23" t="inlineStr">
        <is>
          <t>Price INR 800-1,500/kg; niche but critical for poultry; antibiotic resistance concerns</t>
        </is>
      </c>
      <c r="K50" s="23" t="inlineStr">
        <is>
          <t>MODERATE — niche, regulatory scrutiny on AGPs</t>
        </is>
      </c>
      <c r="L50" s="23" t="inlineStr">
        <is>
          <t>293090</t>
        </is>
      </c>
      <c r="M50" s="23" t="inlineStr">
        <is>
          <t>Yes</t>
        </is>
      </c>
    </row>
    <row r="51" ht="60" customHeight="1" s="19">
      <c r="A51" s="23" t="n">
        <v>48</v>
      </c>
      <c r="B51" s="23" t="inlineStr">
        <is>
          <t>Pseudomonas fluorescens</t>
        </is>
      </c>
      <c r="C51" s="23" t="inlineStr">
        <is>
          <t>—</t>
        </is>
      </c>
      <c r="D51" s="23" t="inlineStr">
        <is>
          <t>Bio-fungicide / PGPR</t>
        </is>
      </c>
      <c r="E51" s="23" t="n">
        <v>40</v>
      </c>
      <c r="F51" s="23" t="inlineStr">
        <is>
          <t>Biologicals (root disease biocontrol, growth promotion)</t>
        </is>
      </c>
      <c r="G51" s="23" t="inlineStr">
        <is>
          <t>1-2 × 10⁹ CFU/g</t>
        </is>
      </c>
      <c r="H51" s="23" t="inlineStr">
        <is>
          <t>Active</t>
        </is>
      </c>
      <c r="I51" s="23" t="inlineStr">
        <is>
          <t>Beneficial Bacterium</t>
        </is>
      </c>
      <c r="J51" s="23" t="inlineStr">
        <is>
          <t>Price INR 200-400/kg; India production growing; government subsidy support; talc/liquid formulations</t>
        </is>
      </c>
      <c r="K51" s="23" t="inlineStr">
        <is>
          <t>LOW — domestic production, subsidy-driven</t>
        </is>
      </c>
      <c r="L51" s="23" t="inlineStr">
        <is>
          <t>310590, 380899</t>
        </is>
      </c>
      <c r="M51" s="23" t="inlineStr">
        <is>
          <t>No</t>
        </is>
      </c>
    </row>
    <row r="52" ht="60" customHeight="1" s="19">
      <c r="A52" s="23" t="n">
        <v>49</v>
      </c>
      <c r="B52" s="23" t="inlineStr">
        <is>
          <t>Ferrous Sulphate (Agri)</t>
        </is>
      </c>
      <c r="C52" s="23" t="inlineStr">
        <is>
          <t>7782-63-0</t>
        </is>
      </c>
      <c r="D52" s="23" t="inlineStr">
        <is>
          <t>Iron Supplement</t>
        </is>
      </c>
      <c r="E52" s="23" t="n">
        <v>40</v>
      </c>
      <c r="F52" s="23" t="inlineStr">
        <is>
          <t>Fertilizer (Fe deficiency, acid soil amendment)</t>
        </is>
      </c>
      <c r="G52" s="23" t="inlineStr">
        <is>
          <t>19-30% Fe</t>
        </is>
      </c>
      <c r="H52" s="23" t="inlineStr">
        <is>
          <t>Bulk</t>
        </is>
      </c>
      <c r="I52" s="23" t="inlineStr">
        <is>
          <t>Iron Salt</t>
        </is>
      </c>
      <c r="J52" s="23" t="inlineStr">
        <is>
          <t>Price INR 8-15/kg; byproduct of TiO2/steel; very low cost; water treatment dual use</t>
        </is>
      </c>
      <c r="K52" s="23" t="inlineStr">
        <is>
          <t>LOW — byproduct commodity, very cheap</t>
        </is>
      </c>
      <c r="L52" s="23" t="inlineStr">
        <is>
          <t>283324, 310590</t>
        </is>
      </c>
      <c r="M52" s="23" t="inlineStr">
        <is>
          <t>Yes</t>
        </is>
      </c>
    </row>
    <row r="53" ht="60" customHeight="1" s="19">
      <c r="A53" s="23" t="n">
        <v>50</v>
      </c>
      <c r="B53" s="23" t="inlineStr">
        <is>
          <t>Bacillus thuringiensis (Bt)</t>
        </is>
      </c>
      <c r="C53" s="23" t="inlineStr">
        <is>
          <t>68038-71-1</t>
        </is>
      </c>
      <c r="D53" s="23" t="inlineStr">
        <is>
          <t>Microbial Insecticide</t>
        </is>
      </c>
      <c r="E53" s="23" t="n">
        <v>38</v>
      </c>
      <c r="F53" s="23" t="inlineStr">
        <is>
          <t>Biologicals (lepidoptera biocontrol)</t>
        </is>
      </c>
      <c r="G53" s="23" t="inlineStr">
        <is>
          <t>16,000-32,000 IU/mg</t>
        </is>
      </c>
      <c r="H53" s="23" t="inlineStr">
        <is>
          <t>Active</t>
        </is>
      </c>
      <c r="I53" s="23" t="inlineStr">
        <is>
          <t>Bacterial Insecticide</t>
        </is>
      </c>
      <c r="J53" s="23" t="inlineStr">
        <is>
          <t>Price INR 400-800/kg; India + China major producers; Bt cotton separate segment; organic approved</t>
        </is>
      </c>
      <c r="K53" s="23" t="inlineStr">
        <is>
          <t>LOW-MODERATE — established bio-insecticide</t>
        </is>
      </c>
      <c r="L53" s="23" t="inlineStr">
        <is>
          <t>380891, 310590</t>
        </is>
      </c>
      <c r="M53" s="23" t="inlineStr">
        <is>
          <t>No</t>
        </is>
      </c>
    </row>
    <row r="54" ht="60" customHeight="1" s="19">
      <c r="A54" s="23" t="n">
        <v>51</v>
      </c>
      <c r="B54" s="23" t="inlineStr">
        <is>
          <t>Borate (Agri Grade / Borax)</t>
        </is>
      </c>
      <c r="C54" s="23" t="inlineStr">
        <is>
          <t>1303-96-4</t>
        </is>
      </c>
      <c r="D54" s="23" t="inlineStr">
        <is>
          <t>Micronutrient</t>
        </is>
      </c>
      <c r="E54" s="23" t="n">
        <v>38</v>
      </c>
      <c r="F54" s="23" t="inlineStr">
        <is>
          <t>Fertilizer (B deficiency in oilseeds, pulses, vegetables)</t>
        </is>
      </c>
      <c r="G54" s="23" t="inlineStr">
        <is>
          <t>10-21% B</t>
        </is>
      </c>
      <c r="H54" s="23" t="inlineStr">
        <is>
          <t>Bulk</t>
        </is>
      </c>
      <c r="I54" s="23" t="inlineStr">
        <is>
          <t>Boron Compound</t>
        </is>
      </c>
      <c r="J54" s="23" t="inlineStr">
        <is>
          <t>Price INR 30-50/kg; Turkey/US source (Rio Tinto, Eti Maden); India 100% import-dependent for borax</t>
        </is>
      </c>
      <c r="K54" s="23" t="inlineStr">
        <is>
          <t>MODERATE — 100% imported, critical micronutrient</t>
        </is>
      </c>
      <c r="L54" s="23" t="inlineStr">
        <is>
          <t>284019, 310590</t>
        </is>
      </c>
      <c r="M54" s="23" t="inlineStr">
        <is>
          <t>Yes</t>
        </is>
      </c>
    </row>
  </sheetData>
  <autoFilter ref="A3:M3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2026-06-30T11:00:56Z</dcterms:created>
  <dcterms:modified xmlns:dcterms="http://purl.org/dc/terms/" xmlns:xsi="http://www.w3.org/2001/XMLSchema-instance" xsi:type="dcterms:W3CDTF">2026-06-30T11:00:56Z</dcterms:modified>
</cp:coreProperties>
</file>